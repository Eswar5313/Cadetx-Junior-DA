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ver" sheetId="1" state="visible" r:id="rId3"/>
    <sheet name="01_Data_Dictionary" sheetId="2" state="visible" r:id="rId4"/>
    <sheet name="02_Table_Profile" sheetId="3" state="visible" r:id="rId5"/>
    <sheet name="03_KPI_Framework" sheetId="4" state="visible" r:id="rId6"/>
    <sheet name="04_Sprint_Tracker" sheetId="5" state="visible" r:id="rId7"/>
    <sheet name="05_Task_Catalogue" sheetId="6" state="visible" r:id="rId8"/>
    <sheet name="06_DQ_Issue_Log" sheetId="7" state="visible" r:id="rId9"/>
    <sheet name="07_Team_Roster" sheetId="8" state="visible" r:id="rId10"/>
    <sheet name="08_Assumptions" sheetId="9" state="visible" r:id="rId11"/>
  </sheets>
  <definedNames>
    <definedName function="false" hidden="true" localSheetId="1" name="_xlnm._FilterDatabase" vbProcedure="false">01_Data_Dictionary!$A$4:$J$138</definedName>
    <definedName function="false" hidden="true" localSheetId="2" name="_xlnm._FilterDatabase" vbProcedure="false">02_Table_Profile!$A$4:$I$17</definedName>
    <definedName function="false" hidden="true" localSheetId="3" name="_xlnm._FilterDatabase" vbProcedure="false">03_KPI_Framework!$A$4:$K$45</definedName>
    <definedName function="false" hidden="true" localSheetId="4" name="_xlnm._FilterDatabase" vbProcedure="false">04_Sprint_Tracker!$A$4:$M$16</definedName>
    <definedName function="false" hidden="true" localSheetId="5" name="_xlnm._FilterDatabase" vbProcedure="false">05_Task_Catalogue!$A$4:$J$63</definedName>
    <definedName function="false" hidden="true" localSheetId="6" name="_xlnm._FilterDatabase" vbProcedure="false">06_DQ_Issue_Log!$A$4:$I$13</definedName>
    <definedName function="false" hidden="true" localSheetId="7" name="_xlnm._FilterDatabase" vbProcedure="false">07_Team_Roster!$A$4:$G$7</definedName>
    <definedName function="false" hidden="true" localSheetId="8" name="_xlnm._FilterDatabase" vbProcedure="false">08_Assumptions!$A$4:$E$14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<sst xmlns="http://schemas.openxmlformats.org/spreadsheetml/2006/main" count="1892" uniqueCount="978">
  <si>
    <t xml:space="preserve">HEAVY WAREHOUSE INTELLIGENCE</t>
  </si>
  <si>
    <t xml:space="preserve">Project Control Book · CadetX Virtual Work Experience · Data Analytics &amp; Data Science</t>
  </si>
  <si>
    <t xml:space="preserve">Project</t>
  </si>
  <si>
    <t xml:space="preserve">Heavy Supplier, Inventory &amp; Warehouse Analytics</t>
  </si>
  <si>
    <t xml:space="preserve">Repository</t>
  </si>
  <si>
    <t xml:space="preserve">github.com/&lt;org&gt;/heavy-warehouse-intelligence</t>
  </si>
  <si>
    <t xml:space="preserve">Duration</t>
  </si>
  <si>
    <t xml:space="preserve">12 weekly sprints · 14 Sep 2026 – 04 Dec 2026</t>
  </si>
  <si>
    <t xml:space="preserve">Team</t>
  </si>
  <si>
    <t xml:space="preserve">Eswar Mahalingam (Data Scientist) · Data Analyst 1 · Data Analyst 2</t>
  </si>
  <si>
    <t xml:space="preserve">Dataset</t>
  </si>
  <si>
    <t xml:space="preserve">12 CSV tables · 605,141 rows · 6 branches · 30 SKUs · 8 suppliers · 500 customers · 2019–2024</t>
  </si>
  <si>
    <t xml:space="preserve">Owner of this file</t>
  </si>
  <si>
    <t xml:space="preserve">Weekly Scrum Master (rotating)</t>
  </si>
  <si>
    <t xml:space="preserve">Version</t>
  </si>
  <si>
    <t xml:space="preserve">v0.1 · 15 Sep 2026</t>
  </si>
  <si>
    <t xml:space="preserve">Legend</t>
  </si>
  <si>
    <t xml:space="preserve">Yellow cells / blue text = team inputs · black = formulas · navy header = do not edit</t>
  </si>
  <si>
    <t xml:space="preserve">SHEET INDEX</t>
  </si>
  <si>
    <t xml:space="preserve">01_Data_Dictionary</t>
  </si>
  <si>
    <t xml:space="preserve">All 134 columns across 12 tables — type, nulls, unique, description, key role</t>
  </si>
  <si>
    <t xml:space="preserve">02_Table_Profile</t>
  </si>
  <si>
    <t xml:space="preserve">Row counts, nulls, duplicates, date coverage, file size per table</t>
  </si>
  <si>
    <t xml:space="preserve">03_KPI_Framework</t>
  </si>
  <si>
    <t xml:space="preserve">41 KPIs — formula, source, grain, target, owner, dashboard, status</t>
  </si>
  <si>
    <t xml:space="preserve">04_Sprint_Tracker</t>
  </si>
  <si>
    <t xml:space="preserve">12 sprints — goal, Scrum Master, tasks, status %, submission tag</t>
  </si>
  <si>
    <t xml:space="preserve">05_Task_Catalogue</t>
  </si>
  <si>
    <t xml:space="preserve">All 59 catalogue tasks — phase, week, owner, status, notebook, result</t>
  </si>
  <si>
    <t xml:space="preserve">06_DQ_Issue_Log</t>
  </si>
  <si>
    <t xml:space="preserve">Data-quality issues DQ-001… with severity, rule, owner, status</t>
  </si>
  <si>
    <t xml:space="preserve">07_Team_Roster</t>
  </si>
  <si>
    <t xml:space="preserve">Members, roles, contact, Scrum Master rotation, meeting cadence</t>
  </si>
  <si>
    <t xml:space="preserve">08_Assumptions</t>
  </si>
  <si>
    <t xml:space="preserve">Every hard-coded number used in analysis, with source</t>
  </si>
  <si>
    <t xml:space="preserve">PROGRAMME STATUS</t>
  </si>
  <si>
    <t xml:space="preserve">Sprints completed</t>
  </si>
  <si>
    <t xml:space="preserve">of 12</t>
  </si>
  <si>
    <t xml:space="preserve">Tasks done</t>
  </si>
  <si>
    <t xml:space="preserve">Tasks in progress</t>
  </si>
  <si>
    <t xml:space="preserve">Open DQ issues</t>
  </si>
  <si>
    <t xml:space="preserve">KPIs live</t>
  </si>
  <si>
    <t xml:space="preserve">of 41</t>
  </si>
  <si>
    <t xml:space="preserve">Data Dictionary</t>
  </si>
  <si>
    <t xml:space="preserve">134 columns · 12 tables · source: data/raw/*.csv · descriptions from CadetX Fields Documentation (edit column I if needed)</t>
  </si>
  <si>
    <t xml:space="preserve">#</t>
  </si>
  <si>
    <t xml:space="preserve">Table</t>
  </si>
  <si>
    <t xml:space="preserve">Column</t>
  </si>
  <si>
    <t xml:space="preserve">Type</t>
  </si>
  <si>
    <t xml:space="preserve">Non-null</t>
  </si>
  <si>
    <t xml:space="preserve">Nulls</t>
  </si>
  <si>
    <t xml:space="preserve">Unique</t>
  </si>
  <si>
    <t xml:space="preserve">Example</t>
  </si>
  <si>
    <t xml:space="preserve">Description</t>
  </si>
  <si>
    <t xml:space="preserve">Key</t>
  </si>
  <si>
    <t xml:space="preserve">branches</t>
  </si>
  <si>
    <t xml:space="preserve">branch_id</t>
  </si>
  <si>
    <t xml:space="preserve">text</t>
  </si>
  <si>
    <t xml:space="preserve">DEL001</t>
  </si>
  <si>
    <t xml:space="preserve">Primary key (e.g. DEL001)</t>
  </si>
  <si>
    <t xml:space="preserve">PK</t>
  </si>
  <si>
    <t xml:space="preserve">branch_name</t>
  </si>
  <si>
    <t xml:space="preserve">Delhi Central</t>
  </si>
  <si>
    <t xml:space="preserve">Branch display name</t>
  </si>
  <si>
    <t xml:space="preserve">city</t>
  </si>
  <si>
    <t xml:space="preserve">Delhi</t>
  </si>
  <si>
    <t xml:space="preserve">City</t>
  </si>
  <si>
    <t xml:space="preserve">state</t>
  </si>
  <si>
    <t xml:space="preserve">Indian state</t>
  </si>
  <si>
    <t xml:space="preserve">region</t>
  </si>
  <si>
    <t xml:space="preserve">North</t>
  </si>
  <si>
    <t xml:space="preserve">North / South / East / West</t>
  </si>
  <si>
    <t xml:space="preserve">warehouse_type</t>
  </si>
  <si>
    <t xml:space="preserve">Central</t>
  </si>
  <si>
    <t xml:space="preserve">Central · Regional · Branch · Service Hub</t>
  </si>
  <si>
    <t xml:space="preserve">warehouse_capacity</t>
  </si>
  <si>
    <t xml:space="preserve">45230 sqft</t>
  </si>
  <si>
    <t xml:space="preserve">Storage area as text '45230 sqft' → parse to int (sq ft)</t>
  </si>
  <si>
    <t xml:space="preserve">service_center_available</t>
  </si>
  <si>
    <t xml:space="preserve">Yes</t>
  </si>
  <si>
    <t xml:space="preserve">Yes/No — on-site service centre</t>
  </si>
  <si>
    <t xml:space="preserve">manager_id</t>
  </si>
  <si>
    <t xml:space="preserve">int</t>
  </si>
  <si>
    <t xml:space="preserve">9593</t>
  </si>
  <si>
    <t xml:space="preserve">Branch manager employee id</t>
  </si>
  <si>
    <t xml:space="preserve">total_employees</t>
  </si>
  <si>
    <t xml:space="preserve">92</t>
  </si>
  <si>
    <t xml:space="preserve">Headcount</t>
  </si>
  <si>
    <t xml:space="preserve">avg_monthly_revenue</t>
  </si>
  <si>
    <t xml:space="preserve">5234890</t>
  </si>
  <si>
    <t xml:space="preserve">Average monthly revenue (₹)</t>
  </si>
  <si>
    <t xml:space="preserve">monthly_operational_cost</t>
  </si>
  <si>
    <t xml:space="preserve">3189000</t>
  </si>
  <si>
    <t xml:space="preserve">Monthly operating cost (₹)</t>
  </si>
  <si>
    <t xml:space="preserve">market_demand_index</t>
  </si>
  <si>
    <t xml:space="preserve">9</t>
  </si>
  <si>
    <t xml:space="preserve">Demand score 1–10 (10 = highest)</t>
  </si>
  <si>
    <t xml:space="preserve">products</t>
  </si>
  <si>
    <t xml:space="preserve">product_id</t>
  </si>
  <si>
    <t xml:space="preserve">P001</t>
  </si>
  <si>
    <t xml:space="preserve">Primary key (P001–P030)</t>
  </si>
  <si>
    <t xml:space="preserve">product_name</t>
  </si>
  <si>
    <t xml:space="preserve">Hydraulic Pump HP-300</t>
  </si>
  <si>
    <t xml:space="preserve">Part name + part code</t>
  </si>
  <si>
    <t xml:space="preserve">category</t>
  </si>
  <si>
    <t xml:space="preserve">Hydraulic</t>
  </si>
  <si>
    <t xml:space="preserve">Hydraulic, Filters, Engine, Undercarriage…</t>
  </si>
  <si>
    <t xml:space="preserve">machine_type</t>
  </si>
  <si>
    <t xml:space="preserve">Excavator</t>
  </si>
  <si>
    <t xml:space="preserve">Excavator, Loader, Bulldozer, Crane, Dumper, All</t>
  </si>
  <si>
    <t xml:space="preserve">brand</t>
  </si>
  <si>
    <t xml:space="preserve">CAT</t>
  </si>
  <si>
    <t xml:space="preserve">CAT, JCB, Komatsu, Volvo, Tata Hitachi, Generic</t>
  </si>
  <si>
    <t xml:space="preserve">model_compatibility</t>
  </si>
  <si>
    <t xml:space="preserve">CAT 320D</t>
  </si>
  <si>
    <t xml:space="preserve">Compatible machine model</t>
  </si>
  <si>
    <t xml:space="preserve">unit_cost</t>
  </si>
  <si>
    <t xml:space="preserve">18950</t>
  </si>
  <si>
    <t xml:space="preserve">Standard purchase cost (₹)</t>
  </si>
  <si>
    <t xml:space="preserve">unit_price</t>
  </si>
  <si>
    <t xml:space="preserve">24500</t>
  </si>
  <si>
    <t xml:space="preserve">List selling price (₹)</t>
  </si>
  <si>
    <t xml:space="preserve">margin_percentage</t>
  </si>
  <si>
    <t xml:space="preserve">float</t>
  </si>
  <si>
    <t xml:space="preserve">29.2</t>
  </si>
  <si>
    <t xml:space="preserve">(price − cost) ÷ cost × 100</t>
  </si>
  <si>
    <t xml:space="preserve">gst_rate</t>
  </si>
  <si>
    <t xml:space="preserve">28</t>
  </si>
  <si>
    <t xml:space="preserve">GST % (18 or 28)</t>
  </si>
  <si>
    <t xml:space="preserve">weight_kg</t>
  </si>
  <si>
    <t xml:space="preserve">38.5</t>
  </si>
  <si>
    <t xml:space="preserve">Unit weight (kg) — drives space &amp; freight</t>
  </si>
  <si>
    <t xml:space="preserve">dimensions_cm</t>
  </si>
  <si>
    <t xml:space="preserve">40x25x25</t>
  </si>
  <si>
    <t xml:space="preserve">L×W×H in cm</t>
  </si>
  <si>
    <t xml:space="preserve">material_type</t>
  </si>
  <si>
    <t xml:space="preserve">steel</t>
  </si>
  <si>
    <t xml:space="preserve">steel, rubber, alloy…</t>
  </si>
  <si>
    <t xml:space="preserve">warranty_months</t>
  </si>
  <si>
    <t xml:space="preserve">12</t>
  </si>
  <si>
    <t xml:space="preserve">Warranty period</t>
  </si>
  <si>
    <t xml:space="preserve">reorder_level</t>
  </si>
  <si>
    <t xml:space="preserve">15</t>
  </si>
  <si>
    <t xml:space="preserve">Master reorder point (units)</t>
  </si>
  <si>
    <t xml:space="preserve">safety_stock</t>
  </si>
  <si>
    <t xml:space="preserve">10</t>
  </si>
  <si>
    <t xml:space="preserve">Master safety stock (units)</t>
  </si>
  <si>
    <t xml:space="preserve">max_stock_level</t>
  </si>
  <si>
    <t xml:space="preserve">40</t>
  </si>
  <si>
    <t xml:space="preserve">Master max stock (units)</t>
  </si>
  <si>
    <t xml:space="preserve">lead_time_days</t>
  </si>
  <si>
    <t xml:space="preserve">21</t>
  </si>
  <si>
    <t xml:space="preserve">Standard replenishment lead time</t>
  </si>
  <si>
    <t xml:space="preserve">criticality_level</t>
  </si>
  <si>
    <t xml:space="preserve">High</t>
  </si>
  <si>
    <t xml:space="preserve">High / Medium / Low</t>
  </si>
  <si>
    <t xml:space="preserve">usage_frequency</t>
  </si>
  <si>
    <t xml:space="preserve">Medium</t>
  </si>
  <si>
    <t xml:space="preserve">uom</t>
  </si>
  <si>
    <t xml:space="preserve">piece</t>
  </si>
  <si>
    <t xml:space="preserve">piece, set, cartridge</t>
  </si>
  <si>
    <t xml:space="preserve">last_purchase_price</t>
  </si>
  <si>
    <t xml:space="preserve">18500</t>
  </si>
  <si>
    <t xml:space="preserve">Last PO unit price (₹)</t>
  </si>
  <si>
    <t xml:space="preserve">last_purchase_date</t>
  </si>
  <si>
    <t xml:space="preserve">date</t>
  </si>
  <si>
    <t xml:space="preserve">2019-03-15</t>
  </si>
  <si>
    <t xml:space="preserve">Date of last purchase</t>
  </si>
  <si>
    <t xml:space="preserve">suppliers</t>
  </si>
  <si>
    <t xml:space="preserve">supplier_id</t>
  </si>
  <si>
    <t xml:space="preserve">SUP0001</t>
  </si>
  <si>
    <t xml:space="preserve">Primary key (SUP0001–SUP0008)</t>
  </si>
  <si>
    <t xml:space="preserve">supplier_name</t>
  </si>
  <si>
    <t xml:space="preserve">Shenzhen OEM Supplies</t>
  </si>
  <si>
    <t xml:space="preserve">Supplier name</t>
  </si>
  <si>
    <t xml:space="preserve">supplier_type</t>
  </si>
  <si>
    <t xml:space="preserve">OEM</t>
  </si>
  <si>
    <t xml:space="preserve">OEM · Distributor · Local Vendor</t>
  </si>
  <si>
    <t xml:space="preserve">product_category</t>
  </si>
  <si>
    <t xml:space="preserve">Medium Parts</t>
  </si>
  <si>
    <t xml:space="preserve">Small / Medium / Large Parts</t>
  </si>
  <si>
    <t xml:space="preserve">Shenzhen</t>
  </si>
  <si>
    <t xml:space="preserve">Supplier city (China)</t>
  </si>
  <si>
    <t xml:space="preserve">province</t>
  </si>
  <si>
    <t xml:space="preserve">Guangdong</t>
  </si>
  <si>
    <t xml:space="preserve">Chinese province</t>
  </si>
  <si>
    <t xml:space="preserve">South China</t>
  </si>
  <si>
    <t xml:space="preserve">South / East / North China</t>
  </si>
  <si>
    <t xml:space="preserve">pincode</t>
  </si>
  <si>
    <t xml:space="preserve">586808</t>
  </si>
  <si>
    <t xml:space="preserve">Postal code (synthetic, Indian format)</t>
  </si>
  <si>
    <t xml:space="preserve">19</t>
  </si>
  <si>
    <t xml:space="preserve">Contracted lead time</t>
  </si>
  <si>
    <t xml:space="preserve">reliability_score</t>
  </si>
  <si>
    <t xml:space="preserve">5</t>
  </si>
  <si>
    <t xml:space="preserve">1–5 (5 = best)</t>
  </si>
  <si>
    <t xml:space="preserve">import_duty_rate</t>
  </si>
  <si>
    <t xml:space="preserve">8</t>
  </si>
  <si>
    <t xml:space="preserve">Import duty % applied to landed cost</t>
  </si>
  <si>
    <t xml:space="preserve">china_tax_id</t>
  </si>
  <si>
    <t xml:space="preserve">90SUZHOU398241</t>
  </si>
  <si>
    <t xml:space="preserve">Supplier tax identifier</t>
  </si>
  <si>
    <t xml:space="preserve">customers</t>
  </si>
  <si>
    <t xml:space="preserve">customer_id</t>
  </si>
  <si>
    <t xml:space="preserve">C0001</t>
  </si>
  <si>
    <t xml:space="preserve">Primary key (C0001–C0500)</t>
  </si>
  <si>
    <t xml:space="preserve">customer_type</t>
  </si>
  <si>
    <t xml:space="preserve">Retail</t>
  </si>
  <si>
    <t xml:space="preserve">Government · Corporate · Dealer · Fleet Owner · Retail</t>
  </si>
  <si>
    <t xml:space="preserve">industry_segment</t>
  </si>
  <si>
    <t xml:space="preserve">Construction</t>
  </si>
  <si>
    <t xml:space="preserve">Mining, Logistics, Construction, Infrastructure, Manufacturing, Rental</t>
  </si>
  <si>
    <t xml:space="preserve">Kolkata</t>
  </si>
  <si>
    <t xml:space="preserve">West Bengal</t>
  </si>
  <si>
    <t xml:space="preserve">State</t>
  </si>
  <si>
    <t xml:space="preserve">991035</t>
  </si>
  <si>
    <t xml:space="preserve">Postal code</t>
  </si>
  <si>
    <t xml:space="preserve">East</t>
  </si>
  <si>
    <t xml:space="preserve">KOL001</t>
  </si>
  <si>
    <t xml:space="preserve">FK → branches (home branch)</t>
  </si>
  <si>
    <t xml:space="preserve">FK</t>
  </si>
  <si>
    <t xml:space="preserve">credit_limit</t>
  </si>
  <si>
    <t xml:space="preserve">45896</t>
  </si>
  <si>
    <t xml:space="preserve">Approved credit limit (₹)</t>
  </si>
  <si>
    <t xml:space="preserve">current_balance</t>
  </si>
  <si>
    <t xml:space="preserve">43284</t>
  </si>
  <si>
    <t xml:space="preserve">Outstanding receivable (₹)</t>
  </si>
  <si>
    <t xml:space="preserve">payment_terms</t>
  </si>
  <si>
    <t xml:space="preserve">Advance</t>
  </si>
  <si>
    <t xml:space="preserve">Advance · Net 15/30/45/60</t>
  </si>
  <si>
    <t xml:space="preserve">customer_since</t>
  </si>
  <si>
    <t xml:space="preserve">2024-04-10</t>
  </si>
  <si>
    <t xml:space="preserve">Onboarding date</t>
  </si>
  <si>
    <t xml:space="preserve">2024-04-25</t>
  </si>
  <si>
    <t xml:space="preserve">Most recent order date</t>
  </si>
  <si>
    <t xml:space="preserve">total_purchase_value</t>
  </si>
  <si>
    <t xml:space="preserve">3892818</t>
  </si>
  <si>
    <t xml:space="preserve">Lifetime purchase value (₹)</t>
  </si>
  <si>
    <t xml:space="preserve">customer_rating</t>
  </si>
  <si>
    <t xml:space="preserve">4</t>
  </si>
  <si>
    <t xml:space="preserve">Internal rating 1–5</t>
  </si>
  <si>
    <t xml:space="preserve">inventory_master</t>
  </si>
  <si>
    <t xml:space="preserve">FK → products</t>
  </si>
  <si>
    <t xml:space="preserve">FK → branches</t>
  </si>
  <si>
    <t xml:space="preserve">opening_stock</t>
  </si>
  <si>
    <t xml:space="preserve">196</t>
  </si>
  <si>
    <t xml:space="preserve">Stock at period start (units)</t>
  </si>
  <si>
    <t xml:space="preserve">59</t>
  </si>
  <si>
    <t xml:space="preserve">Branch-level reorder point</t>
  </si>
  <si>
    <t xml:space="preserve">46</t>
  </si>
  <si>
    <t xml:space="preserve">Branch-level safety stock</t>
  </si>
  <si>
    <t xml:space="preserve">max_stock</t>
  </si>
  <si>
    <t xml:space="preserve">340</t>
  </si>
  <si>
    <t xml:space="preserve">Branch-level max stock</t>
  </si>
  <si>
    <t xml:space="preserve">current_stock</t>
  </si>
  <si>
    <t xml:space="preserve">115928</t>
  </si>
  <si>
    <t xml:space="preserve">Current on-hand — ⚠ values ~100k vs max ~500: reconcile with ledger</t>
  </si>
  <si>
    <t xml:space="preserve">warehouse_bin</t>
  </si>
  <si>
    <t xml:space="preserve">C15</t>
  </si>
  <si>
    <t xml:space="preserve">Bin location (e.g. C15)</t>
  </si>
  <si>
    <t xml:space="preserve">purchase_orders_header</t>
  </si>
  <si>
    <t xml:space="preserve">po_id</t>
  </si>
  <si>
    <t xml:space="preserve">PO-141186</t>
  </si>
  <si>
    <t xml:space="preserve">Primary key</t>
  </si>
  <si>
    <t xml:space="preserve">FK → suppliers</t>
  </si>
  <si>
    <t xml:space="preserve">PUN001</t>
  </si>
  <si>
    <t xml:space="preserve">FK → branches (receiving site)</t>
  </si>
  <si>
    <t xml:space="preserve">order_date</t>
  </si>
  <si>
    <t xml:space="preserve">2019-04-10</t>
  </si>
  <si>
    <t xml:space="preserve">PO raised date</t>
  </si>
  <si>
    <t xml:space="preserve">expected_delivery_date</t>
  </si>
  <si>
    <t xml:space="preserve">2019-04-29</t>
  </si>
  <si>
    <t xml:space="preserve">Promised delivery</t>
  </si>
  <si>
    <t xml:space="preserve">received_date</t>
  </si>
  <si>
    <t xml:space="preserve">Actual receipt — NULL for Cancelled POs</t>
  </si>
  <si>
    <t xml:space="preserve">po_status</t>
  </si>
  <si>
    <t xml:space="preserve">Received</t>
  </si>
  <si>
    <t xml:space="preserve">Received · Cancelled</t>
  </si>
  <si>
    <t xml:space="preserve">total_cost</t>
  </si>
  <si>
    <t xml:space="preserve">22955232.11</t>
  </si>
  <si>
    <t xml:space="preserve">Sum of line totals ex-GST (₹)</t>
  </si>
  <si>
    <t xml:space="preserve">total_gst_amount</t>
  </si>
  <si>
    <t xml:space="preserve">6427464.990800001</t>
  </si>
  <si>
    <t xml:space="preserve">GST (₹)</t>
  </si>
  <si>
    <t xml:space="preserve">grand_total</t>
  </si>
  <si>
    <t xml:space="preserve">29382697.1008</t>
  </si>
  <si>
    <t xml:space="preserve">Incl. GST (₹)</t>
  </si>
  <si>
    <t xml:space="preserve">purchase_orders_lines</t>
  </si>
  <si>
    <t xml:space="preserve">FK → purchase_orders_header</t>
  </si>
  <si>
    <t xml:space="preserve">line_number</t>
  </si>
  <si>
    <t xml:space="preserve">1</t>
  </si>
  <si>
    <t xml:space="preserve">Line sequence within PO</t>
  </si>
  <si>
    <t xml:space="preserve">P004</t>
  </si>
  <si>
    <t xml:space="preserve">quantity</t>
  </si>
  <si>
    <t xml:space="preserve">234</t>
  </si>
  <si>
    <t xml:space="preserve">Units ordered</t>
  </si>
  <si>
    <t xml:space="preserve">34709.54</t>
  </si>
  <si>
    <t xml:space="preserve">Negotiated unit cost (₹)</t>
  </si>
  <si>
    <t xml:space="preserve">GST %</t>
  </si>
  <si>
    <t xml:space="preserve">line_total</t>
  </si>
  <si>
    <t xml:space="preserve">8122032.36</t>
  </si>
  <si>
    <t xml:space="preserve">qty × unit_cost</t>
  </si>
  <si>
    <t xml:space="preserve">gst_amount</t>
  </si>
  <si>
    <t xml:space="preserve">2274169.0608</t>
  </si>
  <si>
    <t xml:space="preserve">line_total × gst_rate</t>
  </si>
  <si>
    <t xml:space="preserve">line_grand_total</t>
  </si>
  <si>
    <t xml:space="preserve">10396201.4208</t>
  </si>
  <si>
    <t xml:space="preserve">line_total + gst</t>
  </si>
  <si>
    <t xml:space="preserve">sales_orders_header</t>
  </si>
  <si>
    <t xml:space="preserve">so_id</t>
  </si>
  <si>
    <t xml:space="preserve">SO-990591</t>
  </si>
  <si>
    <t xml:space="preserve">C0070</t>
  </si>
  <si>
    <t xml:space="preserve">FK → customers</t>
  </si>
  <si>
    <t xml:space="preserve">AHM001</t>
  </si>
  <si>
    <t xml:space="preserve">FK → branches (fulfilling site)</t>
  </si>
  <si>
    <t xml:space="preserve">2022-05-24</t>
  </si>
  <si>
    <t xml:space="preserve">Order date</t>
  </si>
  <si>
    <t xml:space="preserve">delivery_date</t>
  </si>
  <si>
    <t xml:space="preserve">2022-05-28</t>
  </si>
  <si>
    <t xml:space="preserve">Delivery date</t>
  </si>
  <si>
    <t xml:space="preserve">order_status</t>
  </si>
  <si>
    <t xml:space="preserve">Delivered</t>
  </si>
  <si>
    <t xml:space="preserve">Delivered · Cancelled</t>
  </si>
  <si>
    <t xml:space="preserve">Net 30</t>
  </si>
  <si>
    <t xml:space="preserve">total_order_value</t>
  </si>
  <si>
    <t xml:space="preserve">1345720</t>
  </si>
  <si>
    <t xml:space="preserve">Ex-GST (₹)</t>
  </si>
  <si>
    <t xml:space="preserve">374439.6</t>
  </si>
  <si>
    <t xml:space="preserve">1720159.6</t>
  </si>
  <si>
    <t xml:space="preserve">sales_channel</t>
  </si>
  <si>
    <t xml:space="preserve">Counter Sale</t>
  </si>
  <si>
    <t xml:space="preserve">Field Sales · Dealer Network · Counter Sale · Online</t>
  </si>
  <si>
    <t xml:space="preserve">sales_orders_lines</t>
  </si>
  <si>
    <t xml:space="preserve">FK → sales_orders_header</t>
  </si>
  <si>
    <t xml:space="preserve">Line sequence</t>
  </si>
  <si>
    <t xml:space="preserve">P018</t>
  </si>
  <si>
    <t xml:space="preserve">Units sold</t>
  </si>
  <si>
    <t xml:space="preserve">11300</t>
  </si>
  <si>
    <t xml:space="preserve">Selling price (₹)</t>
  </si>
  <si>
    <t xml:space="preserve">214700</t>
  </si>
  <si>
    <t xml:space="preserve">qty × unit_price</t>
  </si>
  <si>
    <t xml:space="preserve">60116.00000000001</t>
  </si>
  <si>
    <t xml:space="preserve">274816.0</t>
  </si>
  <si>
    <t xml:space="preserve">invoices</t>
  </si>
  <si>
    <t xml:space="preserve">invoice_id</t>
  </si>
  <si>
    <t xml:space="preserve">INV-325361</t>
  </si>
  <si>
    <t xml:space="preserve">invoice_date</t>
  </si>
  <si>
    <t xml:space="preserve">Invoice date</t>
  </si>
  <si>
    <t xml:space="preserve">due_date</t>
  </si>
  <si>
    <t xml:space="preserve">2022-06-27</t>
  </si>
  <si>
    <t xml:space="preserve">Payment due date</t>
  </si>
  <si>
    <t xml:space="preserve">payment_status</t>
  </si>
  <si>
    <t xml:space="preserve">Unpaid</t>
  </si>
  <si>
    <t xml:space="preserve">Paid · Partially Paid · Unpaid</t>
  </si>
  <si>
    <t xml:space="preserve">payments</t>
  </si>
  <si>
    <t xml:space="preserve">payment_id</t>
  </si>
  <si>
    <t xml:space="preserve">PAY-207775</t>
  </si>
  <si>
    <t xml:space="preserve">INV-786913</t>
  </si>
  <si>
    <t xml:space="preserve">FK → invoices</t>
  </si>
  <si>
    <t xml:space="preserve">payment_date</t>
  </si>
  <si>
    <t xml:space="preserve">2023-10-07</t>
  </si>
  <si>
    <t xml:space="preserve">Payment date</t>
  </si>
  <si>
    <t xml:space="preserve">payment_amount</t>
  </si>
  <si>
    <t xml:space="preserve">3354624.0</t>
  </si>
  <si>
    <t xml:space="preserve">Amount received (₹)</t>
  </si>
  <si>
    <t xml:space="preserve">payment_method</t>
  </si>
  <si>
    <t xml:space="preserve">Cheque</t>
  </si>
  <si>
    <t xml:space="preserve">UPI · Credit Card · Bank Transfer · Cheque · Cash</t>
  </si>
  <si>
    <t xml:space="preserve">stock_ledger</t>
  </si>
  <si>
    <t xml:space="preserve">movement_id</t>
  </si>
  <si>
    <t xml:space="preserve">MOV-OUT-184742</t>
  </si>
  <si>
    <t xml:space="preserve">movement_type</t>
  </si>
  <si>
    <t xml:space="preserve">OUT</t>
  </si>
  <si>
    <t xml:space="preserve">IN (PO receipt) · OUT (SO despatch) · ADJUSTMENT</t>
  </si>
  <si>
    <t xml:space="preserve">movement_date</t>
  </si>
  <si>
    <t xml:space="preserve">2019-01-03</t>
  </si>
  <si>
    <t xml:space="preserve">Movement date</t>
  </si>
  <si>
    <t xml:space="preserve">Units moved</t>
  </si>
  <si>
    <t xml:space="preserve">reference_type</t>
  </si>
  <si>
    <t xml:space="preserve">SO</t>
  </si>
  <si>
    <t xml:space="preserve">PO · SO · ADJ</t>
  </si>
  <si>
    <t xml:space="preserve">reference_id</t>
  </si>
  <si>
    <t xml:space="preserve">SO-157767</t>
  </si>
  <si>
    <t xml:space="preserve">FK → PO / SO id</t>
  </si>
  <si>
    <t xml:space="preserve">running_balance</t>
  </si>
  <si>
    <t xml:space="preserve">228</t>
  </si>
  <si>
    <t xml:space="preserve">Balance after movement</t>
  </si>
  <si>
    <t xml:space="preserve">Table Profile</t>
  </si>
  <si>
    <t xml:space="preserve">Row-level profile of every raw table (Week-1 baseline) — re-run notebooks/01_data_profiling.ipynb to refresh</t>
  </si>
  <si>
    <t xml:space="preserve">Grain / description</t>
  </si>
  <si>
    <t xml:space="preserve">Rows</t>
  </si>
  <si>
    <t xml:space="preserve">Cols</t>
  </si>
  <si>
    <t xml:space="preserve">Dup rows</t>
  </si>
  <si>
    <t xml:space="preserve">Date coverage</t>
  </si>
  <si>
    <t xml:space="preserve">Size (MB)</t>
  </si>
  <si>
    <t xml:space="preserve">Null %</t>
  </si>
  <si>
    <t xml:space="preserve">Warehouse / branch master — one row per physical site</t>
  </si>
  <si>
    <t xml:space="preserve">Product / SKU master — heavy-machinery spare parts</t>
  </si>
  <si>
    <t xml:space="preserve">last_purchase_date: 2019-03-15 → 2025-04-27</t>
  </si>
  <si>
    <t xml:space="preserve">Supplier master — 8 China-based OEM / distributor / local vendors</t>
  </si>
  <si>
    <t xml:space="preserve">Customer master — 500 B2B accounts</t>
  </si>
  <si>
    <t xml:space="preserve">last_purchase_date: 2015-04-30 → 2024-12-27</t>
  </si>
  <si>
    <t xml:space="preserve">Stock position per product × branch (30 × 6 = 180 rows)</t>
  </si>
  <si>
    <t xml:space="preserve">Purchase order header — one row per PO to a supplier</t>
  </si>
  <si>
    <t xml:space="preserve">order_date: 2019-01-01 → 2024-12-31; expected_delivery_date: 2019-01-11 → 2025-01-28; received_date: 2019-01-11 → 2025-01-28</t>
  </si>
  <si>
    <t xml:space="preserve">Purchase order line items</t>
  </si>
  <si>
    <t xml:space="preserve">Sales order header — one row per customer order</t>
  </si>
  <si>
    <t xml:space="preserve">order_date: 2019-01-01 → 2024-12-31; delivery_date: 2019-01-02 → 2025-01-13</t>
  </si>
  <si>
    <t xml:space="preserve">Sales order line items</t>
  </si>
  <si>
    <t xml:space="preserve">Invoices — one per delivered sales order</t>
  </si>
  <si>
    <t xml:space="preserve">invoice_date: 2019-01-03 → 2025-01-13; due_date: 2019-01-20 → 2025-03-14</t>
  </si>
  <si>
    <t xml:space="preserve">Payments received against invoices</t>
  </si>
  <si>
    <t xml:space="preserve">payment_date: 2019-01-09 → 2025-03-20</t>
  </si>
  <si>
    <t xml:space="preserve">Stock movement ledger — every IN / OUT / ADJUSTMENT per product × branch</t>
  </si>
  <si>
    <t xml:space="preserve">movement_date: 2019-01-01 → 2025-01-28</t>
  </si>
  <si>
    <t xml:space="preserve">TOTAL</t>
  </si>
  <si>
    <t xml:space="preserve">KPI Framework</t>
  </si>
  <si>
    <t xml:space="preserve">41 KPIs · edit Status (J) and Baseline (K) as each KPI goes live · mirrors docs/02_kpi_framework.md</t>
  </si>
  <si>
    <t xml:space="preserve">ID</t>
  </si>
  <si>
    <t xml:space="preserve">Domain</t>
  </si>
  <si>
    <t xml:space="preserve">KPI</t>
  </si>
  <si>
    <t xml:space="preserve">Formula</t>
  </si>
  <si>
    <t xml:space="preserve">Source tables</t>
  </si>
  <si>
    <t xml:space="preserve">Grain</t>
  </si>
  <si>
    <t xml:space="preserve">Target</t>
  </si>
  <si>
    <t xml:space="preserve">Owner</t>
  </si>
  <si>
    <t xml:space="preserve">Dashboard</t>
  </si>
  <si>
    <t xml:space="preserve">Status</t>
  </si>
  <si>
    <t xml:space="preserve">Baseline value</t>
  </si>
  <si>
    <t xml:space="preserve">INV-01</t>
  </si>
  <si>
    <t xml:space="preserve">Inventory</t>
  </si>
  <si>
    <t xml:space="preserve">Inventory Turnover</t>
  </si>
  <si>
    <t xml:space="preserve">Σ(OUT qty × unit_cost) ÷ avg(running_balance × unit_cost)</t>
  </si>
  <si>
    <t xml:space="preserve">stock_ledger, products</t>
  </si>
  <si>
    <t xml:space="preserve">product × branch × year</t>
  </si>
  <si>
    <t xml:space="preserve">≥ 4×</t>
  </si>
  <si>
    <t xml:space="preserve">DA1</t>
  </si>
  <si>
    <t xml:space="preserve">Inventory Health</t>
  </si>
  <si>
    <t xml:space="preserve">Planned</t>
  </si>
  <si>
    <t xml:space="preserve">INV-02</t>
  </si>
  <si>
    <t xml:space="preserve">Days Inventory Outstanding</t>
  </si>
  <si>
    <t xml:space="preserve">365 ÷ INV-01</t>
  </si>
  <si>
    <t xml:space="preserve">derived</t>
  </si>
  <si>
    <t xml:space="preserve">product × branch</t>
  </si>
  <si>
    <t xml:space="preserve">≤ 90 days</t>
  </si>
  <si>
    <t xml:space="preserve">INV-03</t>
  </si>
  <si>
    <t xml:space="preserve">Stockout Rate</t>
  </si>
  <si>
    <t xml:space="preserve">days with running_balance ≤ 0 ÷ total days</t>
  </si>
  <si>
    <t xml:space="preserve">≤ 2 %</t>
  </si>
  <si>
    <t xml:space="preserve">DS</t>
  </si>
  <si>
    <t xml:space="preserve">INV-04</t>
  </si>
  <si>
    <t xml:space="preserve">Overstock %</t>
  </si>
  <si>
    <t xml:space="preserve">SKU-branch pairs with balance &gt; max_stock ÷ 180</t>
  </si>
  <si>
    <t xml:space="preserve">stock_ledger, inventory_master</t>
  </si>
  <si>
    <t xml:space="preserve">branch</t>
  </si>
  <si>
    <t xml:space="preserve">≤ 10 %</t>
  </si>
  <si>
    <t xml:space="preserve">INV-05</t>
  </si>
  <si>
    <t xml:space="preserve">Understock %</t>
  </si>
  <si>
    <t xml:space="preserve">pairs with balance &lt; reorder_level ÷ 180</t>
  </si>
  <si>
    <t xml:space="preserve">≤ 5 %</t>
  </si>
  <si>
    <t xml:space="preserve">INV-06</t>
  </si>
  <si>
    <t xml:space="preserve">Inventory Ageing (days)</t>
  </si>
  <si>
    <t xml:space="preserve">today − date of last OUT movement</t>
  </si>
  <si>
    <t xml:space="preserve">≤ 120</t>
  </si>
  <si>
    <t xml:space="preserve">INV-07</t>
  </si>
  <si>
    <t xml:space="preserve">Dead-stock value</t>
  </si>
  <si>
    <t xml:space="preserve">Σ balance × unit_cost where no OUT in 180 d</t>
  </si>
  <si>
    <t xml:space="preserve">↓ 30 %</t>
  </si>
  <si>
    <t xml:space="preserve">INV-08</t>
  </si>
  <si>
    <t xml:space="preserve">ABC class</t>
  </si>
  <si>
    <t xml:space="preserve">cumulative revenue share: A ≤ 80 %, B ≤ 95 %, C rest</t>
  </si>
  <si>
    <t xml:space="preserve">sales_orders_lines, products</t>
  </si>
  <si>
    <t xml:space="preserve">product</t>
  </si>
  <si>
    <t xml:space="preserve">—</t>
  </si>
  <si>
    <t xml:space="preserve">Product Performance</t>
  </si>
  <si>
    <t xml:space="preserve">INV-09</t>
  </si>
  <si>
    <t xml:space="preserve">Capital locked in stock</t>
  </si>
  <si>
    <t xml:space="preserve">Σ running_balance × unit_cost (latest)</t>
  </si>
  <si>
    <t xml:space="preserve">↓ 15 %</t>
  </si>
  <si>
    <t xml:space="preserve">PRD-01</t>
  </si>
  <si>
    <t xml:space="preserve">Product</t>
  </si>
  <si>
    <t xml:space="preserve">Revenue contribution</t>
  </si>
  <si>
    <t xml:space="preserve">Σ line_total ÷ total revenue</t>
  </si>
  <si>
    <t xml:space="preserve">PRD-02</t>
  </si>
  <si>
    <t xml:space="preserve">Gross margin %</t>
  </si>
  <si>
    <t xml:space="preserve">Σ(qty × (unit_price − unit_cost)) ÷ Σ line_total</t>
  </si>
  <si>
    <t xml:space="preserve">≥ 30 %</t>
  </si>
  <si>
    <t xml:space="preserve">PRD-03</t>
  </si>
  <si>
    <t xml:space="preserve">Velocity (units/month)</t>
  </si>
  <si>
    <t xml:space="preserve">Σ OUT qty ÷ months active</t>
  </si>
  <si>
    <t xml:space="preserve">PRD-04</t>
  </si>
  <si>
    <t xml:space="preserve">Fast / slow mover flag</t>
  </si>
  <si>
    <t xml:space="preserve">velocity quartile: Q4 fast, Q1 slow</t>
  </si>
  <si>
    <t xml:space="preserve">PRD-05</t>
  </si>
  <si>
    <t xml:space="preserve">Demand trend (YoY %)</t>
  </si>
  <si>
    <t xml:space="preserve">(units yr n − yr n-1) ÷ yr n-1</t>
  </si>
  <si>
    <t xml:space="preserve">product × year</t>
  </si>
  <si>
    <t xml:space="preserve">WH-01</t>
  </si>
  <si>
    <t xml:space="preserve">Warehouse</t>
  </si>
  <si>
    <t xml:space="preserve">Throughput / day</t>
  </si>
  <si>
    <t xml:space="preserve">Σ(IN + OUT qty) ÷ operating days</t>
  </si>
  <si>
    <t xml:space="preserve">↑</t>
  </si>
  <si>
    <t xml:space="preserve">Warehouse Efficiency</t>
  </si>
  <si>
    <t xml:space="preserve">WH-02</t>
  </si>
  <si>
    <t xml:space="preserve">Revenue per sq ft</t>
  </si>
  <si>
    <t xml:space="preserve">avg_monthly_revenue ÷ capacity_sqft</t>
  </si>
  <si>
    <t xml:space="preserve">≥ ₹110</t>
  </si>
  <si>
    <t xml:space="preserve">WH-03</t>
  </si>
  <si>
    <t xml:space="preserve">Revenue per employee</t>
  </si>
  <si>
    <t xml:space="preserve">avg_monthly_revenue ÷ total_employees</t>
  </si>
  <si>
    <t xml:space="preserve">≥ ₹55k</t>
  </si>
  <si>
    <t xml:space="preserve">WH-04</t>
  </si>
  <si>
    <t xml:space="preserve">Operating margin %</t>
  </si>
  <si>
    <t xml:space="preserve">(revenue − op cost) ÷ revenue</t>
  </si>
  <si>
    <t xml:space="preserve">≥ 35 %</t>
  </si>
  <si>
    <t xml:space="preserve">WH-05</t>
  </si>
  <si>
    <t xml:space="preserve">Space utilisation %</t>
  </si>
  <si>
    <t xml:space="preserve">Σ(balance × unit volume) ÷ capacity volume</t>
  </si>
  <si>
    <t xml:space="preserve">stock_ledger, products, branches</t>
  </si>
  <si>
    <t xml:space="preserve">65–85 %</t>
  </si>
  <si>
    <t xml:space="preserve">WH-06</t>
  </si>
  <si>
    <t xml:space="preserve">Order-to-delivery days</t>
  </si>
  <si>
    <t xml:space="preserve">delivery_date − order_date</t>
  </si>
  <si>
    <t xml:space="preserve">≤ 5</t>
  </si>
  <si>
    <t xml:space="preserve">WH-07</t>
  </si>
  <si>
    <t xml:space="preserve">Warehouse Performance Score</t>
  </si>
  <si>
    <t xml:space="preserve">weighted z-score of WH-01…06</t>
  </si>
  <si>
    <t xml:space="preserve">rank</t>
  </si>
  <si>
    <t xml:space="preserve">SUP-01</t>
  </si>
  <si>
    <t xml:space="preserve">Supplier</t>
  </si>
  <si>
    <t xml:space="preserve">On-time delivery %</t>
  </si>
  <si>
    <t xml:space="preserve">received_date ≤ expected_delivery_date ÷ received POs</t>
  </si>
  <si>
    <t xml:space="preserve">supplier</t>
  </si>
  <si>
    <t xml:space="preserve">≥ 90 %</t>
  </si>
  <si>
    <t xml:space="preserve">DA2</t>
  </si>
  <si>
    <t xml:space="preserve">Supplier Performance</t>
  </si>
  <si>
    <t xml:space="preserve">SUP-02</t>
  </si>
  <si>
    <t xml:space="preserve">Actual lead time (days)</t>
  </si>
  <si>
    <t xml:space="preserve">received_date − order_date</t>
  </si>
  <si>
    <t xml:space="preserve">≤ contracted</t>
  </si>
  <si>
    <t xml:space="preserve">SUP-03</t>
  </si>
  <si>
    <t xml:space="preserve">Lead-time variance</t>
  </si>
  <si>
    <t xml:space="preserve">σ(actual − contracted lead time)</t>
  </si>
  <si>
    <t xml:space="preserve">purchase_orders_header, suppliers</t>
  </si>
  <si>
    <t xml:space="preserve">≤ 3 d</t>
  </si>
  <si>
    <t xml:space="preserve">SUP-04</t>
  </si>
  <si>
    <t xml:space="preserve">Cancellation rate</t>
  </si>
  <si>
    <t xml:space="preserve">Cancelled ÷ total POs</t>
  </si>
  <si>
    <t xml:space="preserve">SUP-05</t>
  </si>
  <si>
    <t xml:space="preserve">Spend share</t>
  </si>
  <si>
    <t xml:space="preserve">Σ grand_total ÷ total spend</t>
  </si>
  <si>
    <t xml:space="preserve">no supplier &gt; 35 %</t>
  </si>
  <si>
    <t xml:space="preserve">SUP-06</t>
  </si>
  <si>
    <t xml:space="preserve">Dependency risk (HHI)</t>
  </si>
  <si>
    <t xml:space="preserve">Σ(spend share²) per product</t>
  </si>
  <si>
    <t xml:space="preserve">purchase_orders_lines, header</t>
  </si>
  <si>
    <t xml:space="preserve">&lt; 0.25</t>
  </si>
  <si>
    <t xml:space="preserve">SUP-07</t>
  </si>
  <si>
    <t xml:space="preserve">Landed cost index</t>
  </si>
  <si>
    <t xml:space="preserve">unit_cost × (1 + import_duty_rate) ÷ list unit_cost</t>
  </si>
  <si>
    <t xml:space="preserve">PO lines, suppliers, products</t>
  </si>
  <si>
    <t xml:space="preserve">supplier × product</t>
  </si>
  <si>
    <t xml:space="preserve">CUS-01</t>
  </si>
  <si>
    <t xml:space="preserve">Customer</t>
  </si>
  <si>
    <t xml:space="preserve">RFM score</t>
  </si>
  <si>
    <t xml:space="preserve">quintiles of recency, frequency, monetary</t>
  </si>
  <si>
    <t xml:space="preserve">customer</t>
  </si>
  <si>
    <t xml:space="preserve">Customer Analytics</t>
  </si>
  <si>
    <t xml:space="preserve">CUS-02</t>
  </si>
  <si>
    <t xml:space="preserve">CLV (historic)</t>
  </si>
  <si>
    <t xml:space="preserve">Σ grand_total × margin %</t>
  </si>
  <si>
    <t xml:space="preserve">invoices, products</t>
  </si>
  <si>
    <t xml:space="preserve">CUS-03</t>
  </si>
  <si>
    <t xml:space="preserve">Retention rate</t>
  </si>
  <si>
    <t xml:space="preserve">customers active in yr n and yr n-1 ÷ active yr n-1</t>
  </si>
  <si>
    <t xml:space="preserve">year</t>
  </si>
  <si>
    <t xml:space="preserve">≥ 80 %</t>
  </si>
  <si>
    <t xml:space="preserve">CUS-04</t>
  </si>
  <si>
    <t xml:space="preserve">Churn flag</t>
  </si>
  <si>
    <t xml:space="preserve">no order in &gt; 180 days</t>
  </si>
  <si>
    <t xml:space="preserve">≤ 15 %</t>
  </si>
  <si>
    <t xml:space="preserve">CUS-05</t>
  </si>
  <si>
    <t xml:space="preserve">DSO</t>
  </si>
  <si>
    <t xml:space="preserve">avg(payment_date − invoice_date)</t>
  </si>
  <si>
    <t xml:space="preserve">invoices, payments</t>
  </si>
  <si>
    <t xml:space="preserve">customer / branch</t>
  </si>
  <si>
    <t xml:space="preserve">≤ 45 d</t>
  </si>
  <si>
    <t xml:space="preserve">CUS-06</t>
  </si>
  <si>
    <t xml:space="preserve">Collection rate</t>
  </si>
  <si>
    <t xml:space="preserve">Σ payment_amount ÷ Σ invoice grand_total</t>
  </si>
  <si>
    <t xml:space="preserve">≥ 95 %</t>
  </si>
  <si>
    <t xml:space="preserve">CUS-07</t>
  </si>
  <si>
    <t xml:space="preserve">Credit utilisation</t>
  </si>
  <si>
    <t xml:space="preserve">current_balance ÷ credit_limit</t>
  </si>
  <si>
    <t xml:space="preserve">≤ 80 %</t>
  </si>
  <si>
    <t xml:space="preserve">FC-02</t>
  </si>
  <si>
    <t xml:space="preserve">Forecast</t>
  </si>
  <si>
    <t xml:space="preserve">Reorder point</t>
  </si>
  <si>
    <t xml:space="preserve">avg daily demand × lead time + safety stock</t>
  </si>
  <si>
    <t xml:space="preserve">FC-03</t>
  </si>
  <si>
    <t xml:space="preserve">Safety stock</t>
  </si>
  <si>
    <t xml:space="preserve">z × σ_demand × √lead_time (z = 1.65 @ 95 %)</t>
  </si>
  <si>
    <t xml:space="preserve">FC-04</t>
  </si>
  <si>
    <t xml:space="preserve">Stockout risk probability</t>
  </si>
  <si>
    <t xml:space="preserve">classifier P(balance ≤ 0 in next 30 d)</t>
  </si>
  <si>
    <t xml:space="preserve">model output</t>
  </si>
  <si>
    <t xml:space="preserve">RSK-01</t>
  </si>
  <si>
    <t xml:space="preserve">Risk</t>
  </si>
  <si>
    <t xml:space="preserve">Ledger reconciliation gap</t>
  </si>
  <si>
    <t xml:space="preserve">inventory_master.current_stock − last running_balance</t>
  </si>
  <si>
    <t xml:space="preserve">inventory_master, stock_ledger</t>
  </si>
  <si>
    <t xml:space="preserve">Anomaly Monitor</t>
  </si>
  <si>
    <t xml:space="preserve">RSK-02</t>
  </si>
  <si>
    <t xml:space="preserve">Adjustment rate</t>
  </si>
  <si>
    <t xml:space="preserve">ADJUSTMENT qty ÷ total movement qty</t>
  </si>
  <si>
    <t xml:space="preserve">≤ 1 %</t>
  </si>
  <si>
    <t xml:space="preserve">RSK-03</t>
  </si>
  <si>
    <t xml:space="preserve">Movement anomaly count</t>
  </si>
  <si>
    <t xml:space="preserve">Isolation-Forest / z-score &gt; 3 on daily qty</t>
  </si>
  <si>
    <t xml:space="preserve">↓</t>
  </si>
  <si>
    <t xml:space="preserve">Sprint Tracker</t>
  </si>
  <si>
    <t xml:space="preserve">One row per sprint · Scrum Master updates Status, Portal-submitted and Notes every Friday · task counts pull from 05_Task_Catalogue</t>
  </si>
  <si>
    <t xml:space="preserve">Week</t>
  </si>
  <si>
    <t xml:space="preserve">Start</t>
  </si>
  <si>
    <t xml:space="preserve">End</t>
  </si>
  <si>
    <t xml:space="preserve">Phase</t>
  </si>
  <si>
    <t xml:space="preserve">Sprint goal</t>
  </si>
  <si>
    <t xml:space="preserve">Scrum Master</t>
  </si>
  <si>
    <t xml:space="preserve">Tasks planned</t>
  </si>
  <si>
    <t xml:space="preserve">Done %</t>
  </si>
  <si>
    <t xml:space="preserve">Git tag</t>
  </si>
  <si>
    <t xml:space="preserve">Portal submitted</t>
  </si>
  <si>
    <t xml:space="preserve">Notes / blockers</t>
  </si>
  <si>
    <t xml:space="preserve">01</t>
  </si>
  <si>
    <t xml:space="preserve">14-Sep</t>
  </si>
  <si>
    <t xml:space="preserve">18-Sep</t>
  </si>
  <si>
    <t xml:space="preserve">Foundation</t>
  </si>
  <si>
    <t xml:space="preserve">Profile all tables, propose KPIs, set up repo &amp; control book</t>
  </si>
  <si>
    <t xml:space="preserve">Eswar</t>
  </si>
  <si>
    <t xml:space="preserve">In progress</t>
  </si>
  <si>
    <t xml:space="preserve">vWeek-01</t>
  </si>
  <si>
    <t xml:space="preserve">☐</t>
  </si>
  <si>
    <t xml:space="preserve">02</t>
  </si>
  <si>
    <t xml:space="preserve">21-Sep</t>
  </si>
  <si>
    <t xml:space="preserve">25-Sep</t>
  </si>
  <si>
    <t xml:space="preserve">Cleaning rules + star schema + data dictionary v1</t>
  </si>
  <si>
    <t xml:space="preserve">vWeek-02</t>
  </si>
  <si>
    <t xml:space="preserve">03</t>
  </si>
  <si>
    <t xml:space="preserve">28-Sep</t>
  </si>
  <si>
    <t xml:space="preserve">02-Oct</t>
  </si>
  <si>
    <t xml:space="preserve">Feature engineering + validation suite + first KPI pack</t>
  </si>
  <si>
    <t xml:space="preserve">vWeek-03</t>
  </si>
  <si>
    <t xml:space="preserve">04</t>
  </si>
  <si>
    <t xml:space="preserve">05-Oct</t>
  </si>
  <si>
    <t xml:space="preserve">09-Oct</t>
  </si>
  <si>
    <t xml:space="preserve">Product &amp; Inventory</t>
  </si>
  <si>
    <t xml:space="preserve">Product performance, ABC/Pareto, fast/slow movers</t>
  </si>
  <si>
    <t xml:space="preserve">vWeek-04</t>
  </si>
  <si>
    <t xml:space="preserve">05</t>
  </si>
  <si>
    <t xml:space="preserve">12-Oct</t>
  </si>
  <si>
    <t xml:space="preserve">16-Oct</t>
  </si>
  <si>
    <t xml:space="preserve">Turnover, stock health, ageing, over/understock</t>
  </si>
  <si>
    <t xml:space="preserve">vWeek-05</t>
  </si>
  <si>
    <t xml:space="preserve">06</t>
  </si>
  <si>
    <t xml:space="preserve">19-Oct</t>
  </si>
  <si>
    <t xml:space="preserve">23-Oct</t>
  </si>
  <si>
    <t xml:space="preserve">Space utilisation, throughput, capacity, performance score</t>
  </si>
  <si>
    <t xml:space="preserve">vWeek-06</t>
  </si>
  <si>
    <t xml:space="preserve">07</t>
  </si>
  <si>
    <t xml:space="preserve">26-Oct</t>
  </si>
  <si>
    <t xml:space="preserve">30-Oct</t>
  </si>
  <si>
    <t xml:space="preserve">Contribution, reliability, dependency, critical suppliers</t>
  </si>
  <si>
    <t xml:space="preserve">vWeek-07</t>
  </si>
  <si>
    <t xml:space="preserve">08</t>
  </si>
  <si>
    <t xml:space="preserve">02-Nov</t>
  </si>
  <si>
    <t xml:space="preserve">06-Nov</t>
  </si>
  <si>
    <t xml:space="preserve">RFM, segmentation, CLV, retention, churn, cohorts</t>
  </si>
  <si>
    <t xml:space="preserve">vWeek-08</t>
  </si>
  <si>
    <t xml:space="preserve">09</t>
  </si>
  <si>
    <t xml:space="preserve">09-Nov</t>
  </si>
  <si>
    <t xml:space="preserve">13-Nov</t>
  </si>
  <si>
    <t xml:space="preserve">Predictive</t>
  </si>
  <si>
    <t xml:space="preserve">Demand forecast, stockout risk, ROP, safety stock, scenarios</t>
  </si>
  <si>
    <t xml:space="preserve">vWeek-09</t>
  </si>
  <si>
    <t xml:space="preserve">16-Nov</t>
  </si>
  <si>
    <t xml:space="preserve">20-Nov</t>
  </si>
  <si>
    <t xml:space="preserve">BI</t>
  </si>
  <si>
    <t xml:space="preserve">5 dashboards + KPI framework design</t>
  </si>
  <si>
    <t xml:space="preserve">vWeek-10</t>
  </si>
  <si>
    <t xml:space="preserve">11</t>
  </si>
  <si>
    <t xml:space="preserve">23-Nov</t>
  </si>
  <si>
    <t xml:space="preserve">27-Nov</t>
  </si>
  <si>
    <t xml:space="preserve">Risk &amp; Strategy</t>
  </si>
  <si>
    <t xml:space="preserve">Anomaly detection, shrinkage, strategy recommendations</t>
  </si>
  <si>
    <t xml:space="preserve">vWeek-11</t>
  </si>
  <si>
    <t xml:space="preserve">30-Nov</t>
  </si>
  <si>
    <t xml:space="preserve">04-Dec</t>
  </si>
  <si>
    <t xml:space="preserve">Final</t>
  </si>
  <si>
    <t xml:space="preserve">Consolidation, README portfolio, final presentation</t>
  </si>
  <si>
    <t xml:space="preserve">vWeek-12</t>
  </si>
  <si>
    <t xml:space="preserve">Task Catalogue</t>
  </si>
  <si>
    <t xml:space="preserve">59 tasks from the CadetX catalogue · pick, assign, track · Status feeds 04_Sprint_Tracker and 00_Cover</t>
  </si>
  <si>
    <t xml:space="preserve">Group</t>
  </si>
  <si>
    <t xml:space="preserve">Task</t>
  </si>
  <si>
    <t xml:space="preserve">Notebook / file</t>
  </si>
  <si>
    <t xml:space="preserve">Key result (number + so-what)</t>
  </si>
  <si>
    <t xml:space="preserve">Output link</t>
  </si>
  <si>
    <t xml:space="preserve">A1</t>
  </si>
  <si>
    <t xml:space="preserve">Data Foundation &amp; Preparation</t>
  </si>
  <si>
    <t xml:space="preserve">Data Profiling &amp; Structure Analysis</t>
  </si>
  <si>
    <t xml:space="preserve">1 Foundation</t>
  </si>
  <si>
    <t xml:space="preserve">notebooks/01_a1_data_profiling_structure_analy.ipynb</t>
  </si>
  <si>
    <t xml:space="preserve">A2</t>
  </si>
  <si>
    <t xml:space="preserve">Data Cleaning &amp; Quality Improvement</t>
  </si>
  <si>
    <t xml:space="preserve">notebooks/02_a2_data_cleaning_quality_improvem.ipynb</t>
  </si>
  <si>
    <t xml:space="preserve">A3</t>
  </si>
  <si>
    <t xml:space="preserve">Data Integration &amp; Dataset Merging</t>
  </si>
  <si>
    <t xml:space="preserve">notebooks/02_a3_data_integration_dataset_mergi.ipynb</t>
  </si>
  <si>
    <t xml:space="preserve">A4</t>
  </si>
  <si>
    <t xml:space="preserve">Feature Engineering for Analytics</t>
  </si>
  <si>
    <t xml:space="preserve">notebooks/03_a4_feature_engineering_for_analyt.ipynb</t>
  </si>
  <si>
    <t xml:space="preserve">A5</t>
  </si>
  <si>
    <t xml:space="preserve">Data Validation &amp; Consistency Checks</t>
  </si>
  <si>
    <t xml:space="preserve">notebooks/03_a5_data_validation_consistency_ch.ipynb</t>
  </si>
  <si>
    <t xml:space="preserve">A6</t>
  </si>
  <si>
    <t xml:space="preserve">Data Dictionary &amp; Documentation</t>
  </si>
  <si>
    <t xml:space="preserve">notebooks/02_a6_data_dictionary_documentation.ipynb</t>
  </si>
  <si>
    <t xml:space="preserve">B1</t>
  </si>
  <si>
    <t xml:space="preserve">Product &amp; Inventory Analytics</t>
  </si>
  <si>
    <t xml:space="preserve">Product Performance Analysis</t>
  </si>
  <si>
    <t xml:space="preserve">2 Analytics</t>
  </si>
  <si>
    <t xml:space="preserve">Backlog</t>
  </si>
  <si>
    <t xml:space="preserve">B2</t>
  </si>
  <si>
    <t xml:space="preserve">Fast-Moving Product Identification</t>
  </si>
  <si>
    <t xml:space="preserve">B3</t>
  </si>
  <si>
    <t xml:space="preserve">Slow-Moving &amp; Dead Stock Identification</t>
  </si>
  <si>
    <t xml:space="preserve">B4</t>
  </si>
  <si>
    <t xml:space="preserve">Inventory Turnover Analysis</t>
  </si>
  <si>
    <t xml:space="preserve">B5</t>
  </si>
  <si>
    <t xml:space="preserve">Stock Health Assessment</t>
  </si>
  <si>
    <t xml:space="preserve">B6</t>
  </si>
  <si>
    <t xml:space="preserve">Inventory Aging Analysis</t>
  </si>
  <si>
    <t xml:space="preserve">B7</t>
  </si>
  <si>
    <t xml:space="preserve">ABC / Pareto Product Classification</t>
  </si>
  <si>
    <t xml:space="preserve">B8</t>
  </si>
  <si>
    <t xml:space="preserve">Overstock &amp; Understock Detection</t>
  </si>
  <si>
    <t xml:space="preserve">B9</t>
  </si>
  <si>
    <t xml:space="preserve">Product Demand Trend Analysis</t>
  </si>
  <si>
    <t xml:space="preserve">C1</t>
  </si>
  <si>
    <t xml:space="preserve">Warehouse Operations &amp; Efficiency</t>
  </si>
  <si>
    <t xml:space="preserve">Warehouse Space Utilisation Analysis</t>
  </si>
  <si>
    <t xml:space="preserve">C2</t>
  </si>
  <si>
    <t xml:space="preserve">Warehouse Throughput Analysis</t>
  </si>
  <si>
    <t xml:space="preserve">C3</t>
  </si>
  <si>
    <t xml:space="preserve">Warehouse Capacity Analysis</t>
  </si>
  <si>
    <t xml:space="preserve">C4</t>
  </si>
  <si>
    <t xml:space="preserve">Product–Warehouse Alignment</t>
  </si>
  <si>
    <t xml:space="preserve">C5</t>
  </si>
  <si>
    <t xml:space="preserve">Warehouse Performance Scoring</t>
  </si>
  <si>
    <t xml:space="preserve">C6</t>
  </si>
  <si>
    <t xml:space="preserve">Operational Bottleneck Detection</t>
  </si>
  <si>
    <t xml:space="preserve">C7</t>
  </si>
  <si>
    <t xml:space="preserve">Warehouse Utilisation Benchmarking</t>
  </si>
  <si>
    <t xml:space="preserve">D1</t>
  </si>
  <si>
    <t xml:space="preserve">Supplier &amp; Procurement Analytics</t>
  </si>
  <si>
    <t xml:space="preserve">Supplier Contribution Analysis</t>
  </si>
  <si>
    <t xml:space="preserve">3 Predictive</t>
  </si>
  <si>
    <t xml:space="preserve">D2</t>
  </si>
  <si>
    <t xml:space="preserve">Supplier Reliability Analysis</t>
  </si>
  <si>
    <t xml:space="preserve">D3</t>
  </si>
  <si>
    <t xml:space="preserve">Supplier Performance Comparison</t>
  </si>
  <si>
    <t xml:space="preserve">D4</t>
  </si>
  <si>
    <t xml:space="preserve">Supplier Dependency Risk Analysis</t>
  </si>
  <si>
    <t xml:space="preserve">D5</t>
  </si>
  <si>
    <t xml:space="preserve">Critical Supplier Identification</t>
  </si>
  <si>
    <t xml:space="preserve">D6</t>
  </si>
  <si>
    <t xml:space="preserve">Supplier Diversification Analysis</t>
  </si>
  <si>
    <t xml:space="preserve">E1</t>
  </si>
  <si>
    <t xml:space="preserve">Customer Purchase Behaviour Analysis</t>
  </si>
  <si>
    <t xml:space="preserve">E2</t>
  </si>
  <si>
    <t xml:space="preserve">RFM (Recency, Frequency, Monetary) Analysis</t>
  </si>
  <si>
    <t xml:space="preserve">E3</t>
  </si>
  <si>
    <t xml:space="preserve">Customer Segmentation &amp; Personas</t>
  </si>
  <si>
    <t xml:space="preserve">E4</t>
  </si>
  <si>
    <t xml:space="preserve">Customer Lifetime Value (CLV) Estimation</t>
  </si>
  <si>
    <t xml:space="preserve">E5</t>
  </si>
  <si>
    <t xml:space="preserve">Customer Retention Analysis</t>
  </si>
  <si>
    <t xml:space="preserve">E6</t>
  </si>
  <si>
    <t xml:space="preserve">Customer Churn Analysis</t>
  </si>
  <si>
    <t xml:space="preserve">E7</t>
  </si>
  <si>
    <t xml:space="preserve">Customer Cohort Analysis</t>
  </si>
  <si>
    <t xml:space="preserve">E8</t>
  </si>
  <si>
    <t xml:space="preserve">High-Value Customer Identification</t>
  </si>
  <si>
    <t xml:space="preserve">E9</t>
  </si>
  <si>
    <t xml:space="preserve">At-Risk Customer Identification</t>
  </si>
  <si>
    <t xml:space="preserve">F1</t>
  </si>
  <si>
    <t xml:space="preserve">Forecasting &amp; Predictive Analytics</t>
  </si>
  <si>
    <t xml:space="preserve">Product Demand Forecasting</t>
  </si>
  <si>
    <t xml:space="preserve">F2</t>
  </si>
  <si>
    <t xml:space="preserve">Inventory Level Forecasting</t>
  </si>
  <si>
    <t xml:space="preserve">F3</t>
  </si>
  <si>
    <t xml:space="preserve">Stockout Risk Prediction</t>
  </si>
  <si>
    <t xml:space="preserve">F4</t>
  </si>
  <si>
    <t xml:space="preserve">Reorder Point Optimisation</t>
  </si>
  <si>
    <t xml:space="preserve">F5</t>
  </si>
  <si>
    <t xml:space="preserve">Safety Stock Calculation</t>
  </si>
  <si>
    <t xml:space="preserve">F6</t>
  </si>
  <si>
    <t xml:space="preserve">Scenario-Based Inventory Forecasting</t>
  </si>
  <si>
    <t xml:space="preserve">G1</t>
  </si>
  <si>
    <t xml:space="preserve">Risk, Anomaly &amp; Control Analytics</t>
  </si>
  <si>
    <t xml:space="preserve">Inventory Movement Anomaly Detection</t>
  </si>
  <si>
    <t xml:space="preserve">4 BI &amp; Strategy</t>
  </si>
  <si>
    <t xml:space="preserve">G2</t>
  </si>
  <si>
    <t xml:space="preserve">Stock Shrinkage Detection</t>
  </si>
  <si>
    <t xml:space="preserve">G3</t>
  </si>
  <si>
    <t xml:space="preserve">Operational Risk Monitoring</t>
  </si>
  <si>
    <t xml:space="preserve">G4</t>
  </si>
  <si>
    <t xml:space="preserve">Data Integrity &amp; Error Detection</t>
  </si>
  <si>
    <t xml:space="preserve">H1</t>
  </si>
  <si>
    <t xml:space="preserve">Business Intelligence &amp; Visualisation</t>
  </si>
  <si>
    <t xml:space="preserve">Product Performance Dashboards</t>
  </si>
  <si>
    <t xml:space="preserve">H2</t>
  </si>
  <si>
    <t xml:space="preserve">Inventory Health Dashboards</t>
  </si>
  <si>
    <t xml:space="preserve">H3</t>
  </si>
  <si>
    <t xml:space="preserve">Warehouse Efficiency Dashboards</t>
  </si>
  <si>
    <t xml:space="preserve">H4</t>
  </si>
  <si>
    <t xml:space="preserve">Supplier Performance Dashboards</t>
  </si>
  <si>
    <t xml:space="preserve">H5</t>
  </si>
  <si>
    <t xml:space="preserve">Customer Analytics Dashboards</t>
  </si>
  <si>
    <t xml:space="preserve">H6</t>
  </si>
  <si>
    <t xml:space="preserve">KPI Framework Design</t>
  </si>
  <si>
    <t xml:space="preserve">I1</t>
  </si>
  <si>
    <t xml:space="preserve">Insight &amp; Strategy Development</t>
  </si>
  <si>
    <t xml:space="preserve">Inventory Optimisation Strategy</t>
  </si>
  <si>
    <t xml:space="preserve">I2</t>
  </si>
  <si>
    <t xml:space="preserve">Warehouse Improvement Strategy</t>
  </si>
  <si>
    <t xml:space="preserve">I3</t>
  </si>
  <si>
    <t xml:space="preserve">Supplier Strategy Recommendations</t>
  </si>
  <si>
    <t xml:space="preserve">I4</t>
  </si>
  <si>
    <t xml:space="preserve">Customer Retention Strategy</t>
  </si>
  <si>
    <t xml:space="preserve">I5</t>
  </si>
  <si>
    <t xml:space="preserve">Cost Reduction Opportunity Analysis</t>
  </si>
  <si>
    <t xml:space="preserve">I6</t>
  </si>
  <si>
    <t xml:space="preserve">Operational Efficiency Improvement Plan</t>
  </si>
  <si>
    <t xml:space="preserve">Summary by status</t>
  </si>
  <si>
    <t xml:space="preserve">Review</t>
  </si>
  <si>
    <t xml:space="preserve">Done</t>
  </si>
  <si>
    <t xml:space="preserve">Completion %</t>
  </si>
  <si>
    <t xml:space="preserve">Data Quality Issue Log</t>
  </si>
  <si>
    <t xml:space="preserve">Log every issue found; never edit raw CSVs — fix in src/hwi/clean.py and reference the rule here</t>
  </si>
  <si>
    <t xml:space="preserve">Table.column</t>
  </si>
  <si>
    <t xml:space="preserve">Issue</t>
  </si>
  <si>
    <t xml:space="preserve">Severity</t>
  </si>
  <si>
    <t xml:space="preserve">Rule / fix</t>
  </si>
  <si>
    <t xml:space="preserve">Raised</t>
  </si>
  <si>
    <t xml:space="preserve">Resolved / notes</t>
  </si>
  <si>
    <t xml:space="preserve">DQ-001</t>
  </si>
  <si>
    <t xml:space="preserve">purchase_orders_header.received_date</t>
  </si>
  <si>
    <t xml:space="preserve">2,370 nulls</t>
  </si>
  <si>
    <t xml:space="preserve">Low</t>
  </si>
  <si>
    <t xml:space="preserve">Keep null; exclude Cancelled from lead-time KPIs</t>
  </si>
  <si>
    <t xml:space="preserve">15-Sep-26</t>
  </si>
  <si>
    <t xml:space="preserve">Accepted</t>
  </si>
  <si>
    <t xml:space="preserve">DQ-002</t>
  </si>
  <si>
    <t xml:space="preserve">inventory_master.current_stock</t>
  </si>
  <si>
    <t xml:space="preserve">~100k units vs max_stock ≤ 582</t>
  </si>
  <si>
    <t xml:space="preserve">Recompute from ledger; flag as reconciliation gap RSK-01</t>
  </si>
  <si>
    <t xml:space="preserve">Open</t>
  </si>
  <si>
    <t xml:space="preserve">DQ-003</t>
  </si>
  <si>
    <t xml:space="preserve">branches.warehouse_capacity</t>
  </si>
  <si>
    <t xml:space="preserve">Text with unit</t>
  </si>
  <si>
    <t xml:space="preserve">`str.replace(' sqft','').astype(int)`</t>
  </si>
  <si>
    <t xml:space="preserve">DQ-004</t>
  </si>
  <si>
    <t xml:space="preserve">suppliers.pincode</t>
  </si>
  <si>
    <t xml:space="preserve">6-digit Indian format on Chinese addresses</t>
  </si>
  <si>
    <t xml:space="preserve">Info</t>
  </si>
  <si>
    <t xml:space="preserve">Do not geocode</t>
  </si>
  <si>
    <t xml:space="preserve">DQ-005</t>
  </si>
  <si>
    <t xml:space="preserve">*.gst_amount / grand_total</t>
  </si>
  <si>
    <t xml:space="preserve">Floating-point tails (e.g. 60116.00000000001)</t>
  </si>
  <si>
    <t xml:space="preserve">`round(2)` on load</t>
  </si>
  <si>
    <t xml:space="preserve">DQ-006</t>
  </si>
  <si>
    <t xml:space="preserve">purchase_orders_header.grand_total</t>
  </si>
  <si>
    <t xml:space="preserve">PO spend (₹44,169 Cr) ≫ sales (₹3,242 Cr)</t>
  </si>
  <si>
    <t xml:space="preserve">Check PO qty scale vs SO; possible synthetic inflation — document, don't "fix"</t>
  </si>
  <si>
    <t xml:space="preserve">DQ-007</t>
  </si>
  <si>
    <t xml:space="preserve">stock_ledger.running_balance</t>
  </si>
  <si>
    <t xml:space="preserve">Verify balance(t) = balance(t-1) ± qty per product×branch</t>
  </si>
  <si>
    <t xml:space="preserve">Continuity test in `clean.py`</t>
  </si>
  <si>
    <t xml:space="preserve">DQ-008</t>
  </si>
  <si>
    <t xml:space="preserve">customers.last_purchase_date</t>
  </si>
  <si>
    <t xml:space="preserve">Min 2015-04-30 predates ledger (2019)</t>
  </si>
  <si>
    <t xml:space="preserve">Keep; flag pre-2019 as legacy</t>
  </si>
  <si>
    <t xml:space="preserve">DQ-009</t>
  </si>
  <si>
    <t xml:space="preserve">products.lead_time_days vs suppliers.lead_time_days</t>
  </si>
  <si>
    <t xml:space="preserve">Two lead-time sources</t>
  </si>
  <si>
    <t xml:space="preserve">Use PO actuals; masters as reference</t>
  </si>
  <si>
    <t xml:space="preserve">Open issues:</t>
  </si>
  <si>
    <t xml:space="preserve">High severity open:</t>
  </si>
  <si>
    <t xml:space="preserve">Team Roster &amp; Cadence</t>
  </si>
  <si>
    <t xml:space="preserve">Team of 3 · Scrum Master rotates weekly · fill teammate details</t>
  </si>
  <si>
    <t xml:space="preserve">Name</t>
  </si>
  <si>
    <t xml:space="preserve">Role</t>
  </si>
  <si>
    <t xml:space="preserve">Email</t>
  </si>
  <si>
    <t xml:space="preserve">Phone</t>
  </si>
  <si>
    <t xml:space="preserve">GitHub</t>
  </si>
  <si>
    <t xml:space="preserve">Responsibilities</t>
  </si>
  <si>
    <t xml:space="preserve">Scrum Master weeks</t>
  </si>
  <si>
    <t xml:space="preserve">Eswar Mahalingam</t>
  </si>
  <si>
    <t xml:space="preserve">Data Scientist</t>
  </si>
  <si>
    <t xml:space="preserve">eswarmba05313@gmail.com</t>
  </si>
  <si>
    <t xml:space="preserve">+91-9360548243</t>
  </si>
  <si>
    <t xml:space="preserve">@&lt;handle&gt;</t>
  </si>
  <si>
    <t xml:space="preserve">Forecasting, stockout risk, ROP/safety stock, anomaly detection, KPI design</t>
  </si>
  <si>
    <t xml:space="preserve">Weeks 1, 4, 7, 10</t>
  </si>
  <si>
    <t xml:space="preserve">&lt;Teammate 1&gt;</t>
  </si>
  <si>
    <t xml:space="preserve">Data Analyst 1</t>
  </si>
  <si>
    <t xml:space="preserve">Profiling, cleaning, product/inventory/warehouse KPIs, Power BI</t>
  </si>
  <si>
    <t xml:space="preserve">Weeks 2, 5, 8, 11</t>
  </si>
  <si>
    <t xml:space="preserve">&lt;Teammate 2&gt;</t>
  </si>
  <si>
    <t xml:space="preserve">Data Analyst 2</t>
  </si>
  <si>
    <t xml:space="preserve">Supplier &amp; customer analytics, RFM/CLV/churn, insight reports</t>
  </si>
  <si>
    <t xml:space="preserve">Weeks 3, 6, 9, 12</t>
  </si>
  <si>
    <t xml:space="preserve">Meeting cadence</t>
  </si>
  <si>
    <t xml:space="preserve">Monday</t>
  </si>
  <si>
    <t xml:space="preserve">Sprint planning</t>
  </si>
  <si>
    <t xml:space="preserve">30 min · agree goal, pick tasks, fill 05_Task_Catalogue</t>
  </si>
  <si>
    <t xml:space="preserve">Wednesday</t>
  </si>
  <si>
    <t xml:space="preserve">Stand-up</t>
  </si>
  <si>
    <t xml:space="preserve">15 min · done / doing / blocked → SPRINT_NOTES.md</t>
  </si>
  <si>
    <t xml:space="preserve">Friday</t>
  </si>
  <si>
    <t xml:space="preserve">Review + retro + submission</t>
  </si>
  <si>
    <t xml:space="preserve">30 min · demo results, update tracker, tag vWeek-XX, submit link to CadetX portal</t>
  </si>
  <si>
    <t xml:space="preserve">Assumptions Register</t>
  </si>
  <si>
    <t xml:space="preserve">Every hard-coded number used anywhere in the analysis — cite here, reference from notebooks via hwi.config</t>
  </si>
  <si>
    <t xml:space="preserve">Parameter</t>
  </si>
  <si>
    <t xml:space="preserve">Value</t>
  </si>
  <si>
    <t xml:space="preserve">Rationale</t>
  </si>
  <si>
    <t xml:space="preserve">Source</t>
  </si>
  <si>
    <t xml:space="preserve">Used in</t>
  </si>
  <si>
    <t xml:space="preserve">Service level z</t>
  </si>
  <si>
    <t xml:space="preserve">95 % cycle service level — standard for A-class spares</t>
  </si>
  <si>
    <t xml:space="preserve">docs/04_methodology.md</t>
  </si>
  <si>
    <t xml:space="preserve">FC-03 safety stock</t>
  </si>
  <si>
    <t xml:space="preserve">Holding cost rate</t>
  </si>
  <si>
    <t xml:space="preserve">18 % of unit cost per year (capital + storage + obsolescence)</t>
  </si>
  <si>
    <t xml:space="preserve">Team assumption, industry norm 15–25 %</t>
  </si>
  <si>
    <t xml:space="preserve">EOQ</t>
  </si>
  <si>
    <t xml:space="preserve">Ordering cost per PO (₹)</t>
  </si>
  <si>
    <t xml:space="preserve">Admin + inspection cost per import PO</t>
  </si>
  <si>
    <t xml:space="preserve">Team assumption</t>
  </si>
  <si>
    <t xml:space="preserve">Dead-stock threshold (days)</t>
  </si>
  <si>
    <t xml:space="preserve">No OUT movement in 180 days</t>
  </si>
  <si>
    <t xml:space="preserve">Churn threshold (days)</t>
  </si>
  <si>
    <t xml:space="preserve">No order in 180 days</t>
  </si>
  <si>
    <t xml:space="preserve">ABC cut-offs</t>
  </si>
  <si>
    <t xml:space="preserve">80 % / 95 %</t>
  </si>
  <si>
    <t xml:space="preserve">Cumulative revenue share</t>
  </si>
  <si>
    <t xml:space="preserve">Pareto convention</t>
  </si>
  <si>
    <t xml:space="preserve">XYZ cut-offs (CV)</t>
  </si>
  <si>
    <t xml:space="preserve">0.5 / 1.0</t>
  </si>
  <si>
    <t xml:space="preserve">Coefficient of variation of monthly demand</t>
  </si>
  <si>
    <t xml:space="preserve">Standard</t>
  </si>
  <si>
    <t xml:space="preserve">Classification</t>
  </si>
  <si>
    <t xml:space="preserve">Forecast test window</t>
  </si>
  <si>
    <t xml:space="preserve">2024</t>
  </si>
  <si>
    <t xml:space="preserve">Train 2019–2023, test 2024</t>
  </si>
  <si>
    <t xml:space="preserve">Team decision, Week 1</t>
  </si>
  <si>
    <t xml:space="preserve">FC-01</t>
  </si>
  <si>
    <t xml:space="preserve">Analysis as-of date</t>
  </si>
  <si>
    <t xml:space="preserve">31-Jan-2025</t>
  </si>
  <si>
    <t xml:space="preserve">Last ledger date + margin</t>
  </si>
  <si>
    <t xml:space="preserve">Data coverage</t>
  </si>
  <si>
    <t xml:space="preserve">Recency, ageing</t>
  </si>
  <si>
    <t xml:space="preserve">Currency / units</t>
  </si>
  <si>
    <t xml:space="preserve">INR, units per uom</t>
  </si>
  <si>
    <t xml:space="preserve">All money in ₹; large values reported in ₹ Cr (1 Cr = 10,000,000)</t>
  </si>
  <si>
    <t xml:space="preserve">All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</si>
</sst>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"/>
    <numFmt numFmtId="167" formatCode="0.00%"/>
    <numFmt numFmtId="168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2A44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6"/>
      <color rgb="FF1F2A4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FFF"/>
        <bgColor rgb="FFF3F1EA"/>
      </patternFill>
    </fill>
    <fill>
      <patternFill patternType="solid">
        <fgColor rgb="FFC9A227"/>
        <bgColor rgb="FF99CC00"/>
      </patternFill>
    </fill>
    <fill>
      <patternFill patternType="solid">
        <fgColor rgb="FFF3F1EA"/>
        <bgColor rgb="FFFFF2CC"/>
      </patternFill>
    </fill>
    <fill>
      <patternFill patternType="solid">
        <fgColor rgb="FFFFF2CC"/>
        <bgColor rgb="FFF3F1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3F1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EB9C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1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6.8" hidden="false" customHeight="false" outlineLevel="0" collapsed="false">
      <c r="A2" s="1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1"/>
      <c r="B3" s="4" t="s">
        <v>1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1"/>
      <c r="B4" s="5"/>
      <c r="C4" s="5"/>
      <c r="D4" s="5"/>
      <c r="E4" s="5"/>
      <c r="F4" s="5"/>
      <c r="G4" s="5"/>
      <c r="H4" s="5"/>
      <c r="I4" s="5"/>
      <c r="J4" s="5"/>
      <c r="K4" s="2"/>
    </row>
    <row r="5" customFormat="false" ht="15" hidden="false" customHeight="false" outlineLevel="0" collapsed="false">
      <c r="A5" s="1"/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15" hidden="false" customHeight="false" outlineLevel="0" collapsed="false">
      <c r="A6" s="1"/>
      <c r="B6" s="6" t="s">
        <v>2</v>
      </c>
      <c r="C6" s="7" t="s">
        <v>3</v>
      </c>
      <c r="D6" s="2"/>
      <c r="E6" s="2"/>
      <c r="F6" s="2"/>
      <c r="G6" s="2"/>
      <c r="H6" s="2"/>
      <c r="I6" s="2"/>
      <c r="J6" s="2"/>
      <c r="K6" s="2"/>
    </row>
    <row r="7" customFormat="false" ht="15" hidden="false" customHeight="false" outlineLevel="0" collapsed="false">
      <c r="A7" s="1"/>
      <c r="B7" s="6" t="s">
        <v>4</v>
      </c>
      <c r="C7" s="7" t="s">
        <v>5</v>
      </c>
      <c r="D7" s="2"/>
      <c r="E7" s="2"/>
      <c r="F7" s="2"/>
      <c r="G7" s="2"/>
      <c r="H7" s="2"/>
      <c r="I7" s="2"/>
      <c r="J7" s="2"/>
      <c r="K7" s="2"/>
    </row>
    <row r="8" customFormat="false" ht="15" hidden="false" customHeight="false" outlineLevel="0" collapsed="false">
      <c r="A8" s="1"/>
      <c r="B8" s="6" t="s">
        <v>6</v>
      </c>
      <c r="C8" s="7" t="s">
        <v>7</v>
      </c>
      <c r="D8" s="2"/>
      <c r="E8" s="2"/>
      <c r="F8" s="2"/>
      <c r="G8" s="2"/>
      <c r="H8" s="2"/>
      <c r="I8" s="2"/>
      <c r="J8" s="2"/>
      <c r="K8" s="2"/>
    </row>
    <row r="9" customFormat="false" ht="15" hidden="false" customHeight="false" outlineLevel="0" collapsed="false">
      <c r="A9" s="1"/>
      <c r="B9" s="6" t="s">
        <v>8</v>
      </c>
      <c r="C9" s="7" t="s">
        <v>9</v>
      </c>
      <c r="D9" s="2"/>
      <c r="E9" s="2"/>
      <c r="F9" s="2"/>
      <c r="G9" s="2"/>
      <c r="H9" s="2"/>
      <c r="I9" s="2"/>
      <c r="J9" s="2"/>
      <c r="K9" s="2"/>
    </row>
    <row r="10" customFormat="false" ht="15" hidden="false" customHeight="false" outlineLevel="0" collapsed="false">
      <c r="A10" s="1"/>
      <c r="B10" s="6" t="s">
        <v>10</v>
      </c>
      <c r="C10" s="7" t="s">
        <v>11</v>
      </c>
      <c r="D10" s="2"/>
      <c r="E10" s="2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A11" s="1"/>
      <c r="B11" s="6" t="s">
        <v>12</v>
      </c>
      <c r="C11" s="7" t="s">
        <v>13</v>
      </c>
      <c r="D11" s="2"/>
      <c r="E11" s="2"/>
      <c r="F11" s="2"/>
      <c r="G11" s="2"/>
      <c r="H11" s="2"/>
      <c r="I11" s="2"/>
      <c r="J11" s="2"/>
      <c r="K11" s="2"/>
    </row>
    <row r="12" customFormat="false" ht="15" hidden="false" customHeight="false" outlineLevel="0" collapsed="false">
      <c r="A12" s="1"/>
      <c r="B12" s="6" t="s">
        <v>14</v>
      </c>
      <c r="C12" s="7" t="s">
        <v>15</v>
      </c>
      <c r="D12" s="2"/>
      <c r="E12" s="2"/>
      <c r="F12" s="2"/>
      <c r="G12" s="2"/>
      <c r="H12" s="2"/>
      <c r="I12" s="2"/>
      <c r="J12" s="2"/>
      <c r="K12" s="2"/>
    </row>
    <row r="13" customFormat="false" ht="15" hidden="false" customHeight="false" outlineLevel="0" collapsed="false">
      <c r="A13" s="1"/>
      <c r="B13" s="6" t="s">
        <v>16</v>
      </c>
      <c r="C13" s="7" t="s">
        <v>17</v>
      </c>
      <c r="D13" s="2"/>
      <c r="E13" s="2"/>
      <c r="F13" s="2"/>
      <c r="G13" s="2"/>
      <c r="H13" s="2"/>
      <c r="I13" s="2"/>
      <c r="J13" s="2"/>
      <c r="K13" s="2"/>
    </row>
    <row r="14" customFormat="false" ht="15" hidden="false" customHeight="false" outlineLevel="0" collapsed="false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5" hidden="false" customHeight="false" outlineLevel="0" collapsed="false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5" hidden="false" customHeight="false" outlineLevel="0" collapsed="false">
      <c r="A16" s="1"/>
      <c r="B16" s="8" t="s">
        <v>18</v>
      </c>
      <c r="C16" s="2"/>
      <c r="D16" s="2"/>
      <c r="E16" s="2"/>
      <c r="F16" s="2"/>
      <c r="G16" s="2"/>
      <c r="H16" s="2"/>
      <c r="I16" s="2"/>
      <c r="J16" s="2"/>
      <c r="K16" s="2"/>
    </row>
    <row r="17" customFormat="false" ht="15" hidden="false" customHeight="false" outlineLevel="0" collapsed="false">
      <c r="A17" s="1"/>
      <c r="B17" s="6" t="s">
        <v>19</v>
      </c>
      <c r="C17" s="7" t="s">
        <v>20</v>
      </c>
      <c r="D17" s="2"/>
      <c r="E17" s="2"/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1"/>
      <c r="B18" s="6" t="s">
        <v>21</v>
      </c>
      <c r="C18" s="7" t="s">
        <v>22</v>
      </c>
      <c r="D18" s="2"/>
      <c r="E18" s="2"/>
      <c r="F18" s="2"/>
      <c r="G18" s="2"/>
      <c r="H18" s="2"/>
      <c r="I18" s="2"/>
      <c r="J18" s="2"/>
      <c r="K18" s="2"/>
    </row>
    <row r="19" customFormat="false" ht="15" hidden="false" customHeight="false" outlineLevel="0" collapsed="false">
      <c r="A19" s="1"/>
      <c r="B19" s="6" t="s">
        <v>23</v>
      </c>
      <c r="C19" s="7" t="s">
        <v>24</v>
      </c>
      <c r="D19" s="2"/>
      <c r="E19" s="2"/>
      <c r="F19" s="2"/>
      <c r="G19" s="2"/>
      <c r="H19" s="2"/>
      <c r="I19" s="2"/>
      <c r="J19" s="2"/>
      <c r="K19" s="2"/>
    </row>
    <row r="20" customFormat="false" ht="15" hidden="false" customHeight="false" outlineLevel="0" collapsed="false">
      <c r="A20" s="1"/>
      <c r="B20" s="6" t="s">
        <v>25</v>
      </c>
      <c r="C20" s="7" t="s">
        <v>26</v>
      </c>
      <c r="D20" s="2"/>
      <c r="E20" s="2"/>
      <c r="F20" s="2"/>
      <c r="G20" s="2"/>
      <c r="H20" s="2"/>
      <c r="I20" s="2"/>
      <c r="J20" s="2"/>
      <c r="K20" s="2"/>
    </row>
    <row r="21" customFormat="false" ht="15" hidden="false" customHeight="false" outlineLevel="0" collapsed="false">
      <c r="A21" s="1"/>
      <c r="B21" s="6" t="s">
        <v>27</v>
      </c>
      <c r="C21" s="7" t="s">
        <v>28</v>
      </c>
      <c r="D21" s="2"/>
      <c r="E21" s="2"/>
      <c r="F21" s="2"/>
      <c r="G21" s="2"/>
      <c r="H21" s="2"/>
      <c r="I21" s="2"/>
      <c r="J21" s="2"/>
      <c r="K21" s="2"/>
    </row>
    <row r="22" customFormat="false" ht="15" hidden="false" customHeight="false" outlineLevel="0" collapsed="false">
      <c r="A22" s="1"/>
      <c r="B22" s="6" t="s">
        <v>29</v>
      </c>
      <c r="C22" s="7" t="s">
        <v>30</v>
      </c>
      <c r="D22" s="2"/>
      <c r="E22" s="2"/>
      <c r="F22" s="2"/>
      <c r="G22" s="2"/>
      <c r="H22" s="2"/>
      <c r="I22" s="2"/>
      <c r="J22" s="2"/>
      <c r="K22" s="2"/>
    </row>
    <row r="23" customFormat="false" ht="15" hidden="false" customHeight="false" outlineLevel="0" collapsed="false">
      <c r="A23" s="1"/>
      <c r="B23" s="6" t="s">
        <v>31</v>
      </c>
      <c r="C23" s="7" t="s">
        <v>32</v>
      </c>
      <c r="D23" s="2"/>
      <c r="E23" s="2"/>
      <c r="F23" s="2"/>
      <c r="G23" s="2"/>
      <c r="H23" s="2"/>
      <c r="I23" s="2"/>
      <c r="J23" s="2"/>
      <c r="K23" s="2"/>
    </row>
    <row r="24" customFormat="false" ht="15" hidden="false" customHeight="false" outlineLevel="0" collapsed="false">
      <c r="A24" s="1"/>
      <c r="B24" s="6" t="s">
        <v>33</v>
      </c>
      <c r="C24" s="7" t="s">
        <v>34</v>
      </c>
      <c r="D24" s="2"/>
      <c r="E24" s="2"/>
      <c r="F24" s="2"/>
      <c r="G24" s="2"/>
      <c r="H24" s="2"/>
      <c r="I24" s="2"/>
      <c r="J24" s="2"/>
      <c r="K24" s="2"/>
    </row>
    <row r="25" customFormat="false" ht="15" hidden="false" customHeight="false" outlineLevel="0" collapsed="false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customFormat="false" ht="15" hidden="false" customHeight="false" outlineLevel="0" collapsed="false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1"/>
      <c r="B27" s="8" t="s">
        <v>35</v>
      </c>
      <c r="C27" s="2"/>
      <c r="D27" s="2"/>
      <c r="E27" s="2"/>
      <c r="F27" s="2"/>
      <c r="G27" s="2"/>
      <c r="H27" s="2"/>
      <c r="I27" s="2"/>
      <c r="J27" s="2"/>
      <c r="K27" s="2"/>
    </row>
    <row r="28" customFormat="false" ht="15" hidden="false" customHeight="false" outlineLevel="0" collapsed="false">
      <c r="A28" s="1"/>
      <c r="B28" s="6" t="s">
        <v>36</v>
      </c>
      <c r="C28" s="9" t="n">
        <f aca="false">COUNTIF(04_Sprint_Tracker!G5:G16,"Done")</f>
        <v>0</v>
      </c>
      <c r="D28" s="7" t="s">
        <v>37</v>
      </c>
      <c r="E28" s="2"/>
      <c r="F28" s="2"/>
      <c r="G28" s="2"/>
      <c r="H28" s="2"/>
      <c r="I28" s="2"/>
      <c r="J28" s="2"/>
      <c r="K28" s="2"/>
    </row>
    <row r="29" customFormat="false" ht="15" hidden="false" customHeight="false" outlineLevel="0" collapsed="false">
      <c r="A29" s="1"/>
      <c r="B29" s="6" t="s">
        <v>38</v>
      </c>
      <c r="C29" s="9" t="n">
        <f aca="false">COUNTIF(05_Task_Catalogue!G5:G63,"Done")</f>
        <v>0</v>
      </c>
      <c r="D29" s="7" t="str">
        <f aca="false">"of "&amp;COUNTA(05_Task_Catalogue!A5:A63)</f>
        <v>of 59</v>
      </c>
      <c r="E29" s="2"/>
      <c r="F29" s="2"/>
      <c r="G29" s="2"/>
      <c r="H29" s="2"/>
      <c r="I29" s="2"/>
      <c r="J29" s="2"/>
      <c r="K29" s="2"/>
    </row>
    <row r="30" customFormat="false" ht="15" hidden="false" customHeight="false" outlineLevel="0" collapsed="false">
      <c r="A30" s="1"/>
      <c r="B30" s="6" t="s">
        <v>39</v>
      </c>
      <c r="C30" s="9" t="n">
        <f aca="false">COUNTIF(05_Task_Catalogue!G5:G63,"In progress")</f>
        <v>1</v>
      </c>
      <c r="D30" s="7"/>
      <c r="E30" s="2"/>
      <c r="F30" s="2"/>
      <c r="G30" s="2"/>
      <c r="H30" s="2"/>
      <c r="I30" s="2"/>
      <c r="J30" s="2"/>
      <c r="K30" s="2"/>
    </row>
    <row r="31" customFormat="false" ht="15" hidden="false" customHeight="false" outlineLevel="0" collapsed="false">
      <c r="A31" s="1"/>
      <c r="B31" s="6" t="s">
        <v>40</v>
      </c>
      <c r="C31" s="9" t="n">
        <f aca="false">COUNTIF(06_DQ_Issue_Log!H5:H30,"Open")</f>
        <v>5</v>
      </c>
      <c r="D31" s="7"/>
      <c r="E31" s="2"/>
      <c r="F31" s="2"/>
      <c r="G31" s="2"/>
      <c r="H31" s="2"/>
      <c r="I31" s="2"/>
      <c r="J31" s="2"/>
      <c r="K31" s="2"/>
    </row>
    <row r="32" customFormat="false" ht="15" hidden="false" customHeight="false" outlineLevel="0" collapsed="false">
      <c r="A32" s="1"/>
      <c r="B32" s="6" t="s">
        <v>41</v>
      </c>
      <c r="C32" s="9" t="n">
        <f aca="false">COUNTIF(03_KPI_Framework!J5:J46,"Live")</f>
        <v>0</v>
      </c>
      <c r="D32" s="7" t="s">
        <v>42</v>
      </c>
      <c r="E32" s="2"/>
      <c r="F32" s="2"/>
      <c r="G32" s="2"/>
      <c r="H32" s="2"/>
      <c r="I32" s="2"/>
      <c r="J32" s="2"/>
      <c r="K32" s="2"/>
    </row>
    <row r="33" customFormat="false" ht="15" hidden="false" customHeight="false" outlineLevel="0" collapsed="false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15" hidden="false" customHeight="false" outlineLevel="0" collapsed="false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15" hidden="false" customHeight="false" outlineLevel="0" collapsed="false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15" hidden="false" customHeight="false" outlineLevel="0" collapsed="false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15" hidden="false" customHeight="false" outlineLevel="0" collapsed="false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15" hidden="false" customHeight="false" outlineLevel="0" collapsed="false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15" hidden="false" customHeight="false" outlineLevel="0" collapsed="false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60"/>
    <col collapsed="false" customWidth="true" hidden="false" outlineLevel="0" max="10" min="10" style="0" width="6"/>
  </cols>
  <sheetData>
    <row r="1" customFormat="false" ht="19.7" hidden="false" customHeight="false" outlineLevel="0" collapsed="false">
      <c r="A1" s="10" t="s">
        <v>43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15" hidden="false" customHeight="false" outlineLevel="0" collapsed="false">
      <c r="A2" s="11" t="s">
        <v>44</v>
      </c>
      <c r="B2" s="11"/>
      <c r="C2" s="11"/>
      <c r="D2" s="11"/>
      <c r="E2" s="11"/>
      <c r="F2" s="11"/>
      <c r="G2" s="11"/>
      <c r="H2" s="11"/>
      <c r="I2" s="11"/>
      <c r="J2" s="11"/>
    </row>
    <row r="3" customFormat="false" ht="3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</row>
    <row r="4" customFormat="false" ht="30" hidden="false" customHeight="true" outlineLevel="0" collapsed="false">
      <c r="A4" s="12" t="s">
        <v>45</v>
      </c>
      <c r="B4" s="12" t="s">
        <v>46</v>
      </c>
      <c r="C4" s="12" t="s">
        <v>47</v>
      </c>
      <c r="D4" s="12" t="s">
        <v>48</v>
      </c>
      <c r="E4" s="12" t="s">
        <v>49</v>
      </c>
      <c r="F4" s="12" t="s">
        <v>50</v>
      </c>
      <c r="G4" s="12" t="s">
        <v>51</v>
      </c>
      <c r="H4" s="12" t="s">
        <v>52</v>
      </c>
      <c r="I4" s="12" t="s">
        <v>53</v>
      </c>
      <c r="J4" s="12" t="s">
        <v>54</v>
      </c>
    </row>
    <row r="5" customFormat="false" ht="15" hidden="false" customHeight="false" outlineLevel="0" collapsed="false">
      <c r="A5" s="13" t="n">
        <v>1</v>
      </c>
      <c r="B5" s="13" t="s">
        <v>55</v>
      </c>
      <c r="C5" s="13" t="s">
        <v>56</v>
      </c>
      <c r="D5" s="13" t="s">
        <v>57</v>
      </c>
      <c r="E5" s="13" t="n">
        <v>6</v>
      </c>
      <c r="F5" s="13" t="n">
        <v>0</v>
      </c>
      <c r="G5" s="13" t="n">
        <v>6</v>
      </c>
      <c r="H5" s="13" t="s">
        <v>58</v>
      </c>
      <c r="I5" s="14" t="s">
        <v>59</v>
      </c>
      <c r="J5" s="13" t="s">
        <v>60</v>
      </c>
    </row>
    <row r="6" customFormat="false" ht="15" hidden="false" customHeight="false" outlineLevel="0" collapsed="false">
      <c r="A6" s="15" t="n">
        <v>2</v>
      </c>
      <c r="B6" s="15" t="s">
        <v>55</v>
      </c>
      <c r="C6" s="15" t="s">
        <v>61</v>
      </c>
      <c r="D6" s="15" t="s">
        <v>57</v>
      </c>
      <c r="E6" s="15" t="n">
        <v>6</v>
      </c>
      <c r="F6" s="15" t="n">
        <v>0</v>
      </c>
      <c r="G6" s="15" t="n">
        <v>6</v>
      </c>
      <c r="H6" s="15" t="s">
        <v>62</v>
      </c>
      <c r="I6" s="14" t="s">
        <v>63</v>
      </c>
      <c r="J6" s="15"/>
    </row>
    <row r="7" customFormat="false" ht="15" hidden="false" customHeight="false" outlineLevel="0" collapsed="false">
      <c r="A7" s="13" t="n">
        <v>3</v>
      </c>
      <c r="B7" s="13" t="s">
        <v>55</v>
      </c>
      <c r="C7" s="13" t="s">
        <v>64</v>
      </c>
      <c r="D7" s="13" t="s">
        <v>57</v>
      </c>
      <c r="E7" s="13" t="n">
        <v>6</v>
      </c>
      <c r="F7" s="13" t="n">
        <v>0</v>
      </c>
      <c r="G7" s="13" t="n">
        <v>6</v>
      </c>
      <c r="H7" s="13" t="s">
        <v>65</v>
      </c>
      <c r="I7" s="14" t="s">
        <v>66</v>
      </c>
      <c r="J7" s="13"/>
    </row>
    <row r="8" customFormat="false" ht="15" hidden="false" customHeight="false" outlineLevel="0" collapsed="false">
      <c r="A8" s="15" t="n">
        <v>4</v>
      </c>
      <c r="B8" s="15" t="s">
        <v>55</v>
      </c>
      <c r="C8" s="15" t="s">
        <v>67</v>
      </c>
      <c r="D8" s="15" t="s">
        <v>57</v>
      </c>
      <c r="E8" s="15" t="n">
        <v>6</v>
      </c>
      <c r="F8" s="15" t="n">
        <v>0</v>
      </c>
      <c r="G8" s="15" t="n">
        <v>6</v>
      </c>
      <c r="H8" s="15" t="s">
        <v>65</v>
      </c>
      <c r="I8" s="14" t="s">
        <v>68</v>
      </c>
      <c r="J8" s="15"/>
    </row>
    <row r="9" customFormat="false" ht="15" hidden="false" customHeight="false" outlineLevel="0" collapsed="false">
      <c r="A9" s="13" t="n">
        <v>5</v>
      </c>
      <c r="B9" s="13" t="s">
        <v>55</v>
      </c>
      <c r="C9" s="13" t="s">
        <v>69</v>
      </c>
      <c r="D9" s="13" t="s">
        <v>57</v>
      </c>
      <c r="E9" s="13" t="n">
        <v>6</v>
      </c>
      <c r="F9" s="13" t="n">
        <v>0</v>
      </c>
      <c r="G9" s="13" t="n">
        <v>4</v>
      </c>
      <c r="H9" s="13" t="s">
        <v>70</v>
      </c>
      <c r="I9" s="14" t="s">
        <v>71</v>
      </c>
      <c r="J9" s="13"/>
    </row>
    <row r="10" customFormat="false" ht="15" hidden="false" customHeight="false" outlineLevel="0" collapsed="false">
      <c r="A10" s="15" t="n">
        <v>6</v>
      </c>
      <c r="B10" s="15" t="s">
        <v>55</v>
      </c>
      <c r="C10" s="15" t="s">
        <v>72</v>
      </c>
      <c r="D10" s="15" t="s">
        <v>57</v>
      </c>
      <c r="E10" s="15" t="n">
        <v>6</v>
      </c>
      <c r="F10" s="15" t="n">
        <v>0</v>
      </c>
      <c r="G10" s="15" t="n">
        <v>4</v>
      </c>
      <c r="H10" s="15" t="s">
        <v>73</v>
      </c>
      <c r="I10" s="14" t="s">
        <v>74</v>
      </c>
      <c r="J10" s="15"/>
    </row>
    <row r="11" customFormat="false" ht="15" hidden="false" customHeight="false" outlineLevel="0" collapsed="false">
      <c r="A11" s="13" t="n">
        <v>7</v>
      </c>
      <c r="B11" s="13" t="s">
        <v>55</v>
      </c>
      <c r="C11" s="13" t="s">
        <v>75</v>
      </c>
      <c r="D11" s="13" t="s">
        <v>57</v>
      </c>
      <c r="E11" s="13" t="n">
        <v>6</v>
      </c>
      <c r="F11" s="13" t="n">
        <v>0</v>
      </c>
      <c r="G11" s="13" t="n">
        <v>6</v>
      </c>
      <c r="H11" s="13" t="s">
        <v>76</v>
      </c>
      <c r="I11" s="14" t="s">
        <v>77</v>
      </c>
      <c r="J11" s="13"/>
    </row>
    <row r="12" customFormat="false" ht="15" hidden="false" customHeight="false" outlineLevel="0" collapsed="false">
      <c r="A12" s="15" t="n">
        <v>8</v>
      </c>
      <c r="B12" s="15" t="s">
        <v>55</v>
      </c>
      <c r="C12" s="15" t="s">
        <v>78</v>
      </c>
      <c r="D12" s="15" t="s">
        <v>57</v>
      </c>
      <c r="E12" s="15" t="n">
        <v>6</v>
      </c>
      <c r="F12" s="15" t="n">
        <v>0</v>
      </c>
      <c r="G12" s="15" t="n">
        <v>2</v>
      </c>
      <c r="H12" s="15" t="s">
        <v>79</v>
      </c>
      <c r="I12" s="14" t="s">
        <v>80</v>
      </c>
      <c r="J12" s="15"/>
    </row>
    <row r="13" customFormat="false" ht="15" hidden="false" customHeight="false" outlineLevel="0" collapsed="false">
      <c r="A13" s="13" t="n">
        <v>9</v>
      </c>
      <c r="B13" s="13" t="s">
        <v>55</v>
      </c>
      <c r="C13" s="13" t="s">
        <v>81</v>
      </c>
      <c r="D13" s="13" t="s">
        <v>82</v>
      </c>
      <c r="E13" s="13" t="n">
        <v>6</v>
      </c>
      <c r="F13" s="13" t="n">
        <v>0</v>
      </c>
      <c r="G13" s="13" t="n">
        <v>6</v>
      </c>
      <c r="H13" s="13" t="s">
        <v>83</v>
      </c>
      <c r="I13" s="14" t="s">
        <v>84</v>
      </c>
      <c r="J13" s="13"/>
    </row>
    <row r="14" customFormat="false" ht="15" hidden="false" customHeight="false" outlineLevel="0" collapsed="false">
      <c r="A14" s="15" t="n">
        <v>10</v>
      </c>
      <c r="B14" s="15" t="s">
        <v>55</v>
      </c>
      <c r="C14" s="15" t="s">
        <v>85</v>
      </c>
      <c r="D14" s="15" t="s">
        <v>82</v>
      </c>
      <c r="E14" s="15" t="n">
        <v>6</v>
      </c>
      <c r="F14" s="15" t="n">
        <v>0</v>
      </c>
      <c r="G14" s="15" t="n">
        <v>6</v>
      </c>
      <c r="H14" s="15" t="s">
        <v>86</v>
      </c>
      <c r="I14" s="14" t="s">
        <v>87</v>
      </c>
      <c r="J14" s="15"/>
    </row>
    <row r="15" customFormat="false" ht="15" hidden="false" customHeight="false" outlineLevel="0" collapsed="false">
      <c r="A15" s="13" t="n">
        <v>11</v>
      </c>
      <c r="B15" s="13" t="s">
        <v>55</v>
      </c>
      <c r="C15" s="13" t="s">
        <v>88</v>
      </c>
      <c r="D15" s="13" t="s">
        <v>82</v>
      </c>
      <c r="E15" s="13" t="n">
        <v>6</v>
      </c>
      <c r="F15" s="13" t="n">
        <v>0</v>
      </c>
      <c r="G15" s="13" t="n">
        <v>6</v>
      </c>
      <c r="H15" s="13" t="s">
        <v>89</v>
      </c>
      <c r="I15" s="14" t="s">
        <v>90</v>
      </c>
      <c r="J15" s="13"/>
    </row>
    <row r="16" customFormat="false" ht="15" hidden="false" customHeight="false" outlineLevel="0" collapsed="false">
      <c r="A16" s="15" t="n">
        <v>12</v>
      </c>
      <c r="B16" s="15" t="s">
        <v>55</v>
      </c>
      <c r="C16" s="15" t="s">
        <v>91</v>
      </c>
      <c r="D16" s="15" t="s">
        <v>82</v>
      </c>
      <c r="E16" s="15" t="n">
        <v>6</v>
      </c>
      <c r="F16" s="15" t="n">
        <v>0</v>
      </c>
      <c r="G16" s="15" t="n">
        <v>6</v>
      </c>
      <c r="H16" s="15" t="s">
        <v>92</v>
      </c>
      <c r="I16" s="14" t="s">
        <v>93</v>
      </c>
      <c r="J16" s="15"/>
    </row>
    <row r="17" customFormat="false" ht="15" hidden="false" customHeight="false" outlineLevel="0" collapsed="false">
      <c r="A17" s="13" t="n">
        <v>13</v>
      </c>
      <c r="B17" s="13" t="s">
        <v>55</v>
      </c>
      <c r="C17" s="13" t="s">
        <v>94</v>
      </c>
      <c r="D17" s="13" t="s">
        <v>82</v>
      </c>
      <c r="E17" s="13" t="n">
        <v>6</v>
      </c>
      <c r="F17" s="13" t="n">
        <v>0</v>
      </c>
      <c r="G17" s="13" t="n">
        <v>4</v>
      </c>
      <c r="H17" s="13" t="s">
        <v>95</v>
      </c>
      <c r="I17" s="14" t="s">
        <v>96</v>
      </c>
      <c r="J17" s="13"/>
    </row>
    <row r="18" customFormat="false" ht="15" hidden="false" customHeight="false" outlineLevel="0" collapsed="false">
      <c r="A18" s="15" t="n">
        <v>14</v>
      </c>
      <c r="B18" s="15" t="s">
        <v>97</v>
      </c>
      <c r="C18" s="15" t="s">
        <v>98</v>
      </c>
      <c r="D18" s="15" t="s">
        <v>57</v>
      </c>
      <c r="E18" s="15" t="n">
        <v>30</v>
      </c>
      <c r="F18" s="15" t="n">
        <v>0</v>
      </c>
      <c r="G18" s="15" t="n">
        <v>30</v>
      </c>
      <c r="H18" s="15" t="s">
        <v>99</v>
      </c>
      <c r="I18" s="14" t="s">
        <v>100</v>
      </c>
      <c r="J18" s="15" t="s">
        <v>60</v>
      </c>
    </row>
    <row r="19" customFormat="false" ht="15" hidden="false" customHeight="false" outlineLevel="0" collapsed="false">
      <c r="A19" s="13" t="n">
        <v>15</v>
      </c>
      <c r="B19" s="13" t="s">
        <v>97</v>
      </c>
      <c r="C19" s="13" t="s">
        <v>101</v>
      </c>
      <c r="D19" s="13" t="s">
        <v>57</v>
      </c>
      <c r="E19" s="13" t="n">
        <v>30</v>
      </c>
      <c r="F19" s="13" t="n">
        <v>0</v>
      </c>
      <c r="G19" s="13" t="n">
        <v>30</v>
      </c>
      <c r="H19" s="13" t="s">
        <v>102</v>
      </c>
      <c r="I19" s="14" t="s">
        <v>103</v>
      </c>
      <c r="J19" s="13"/>
    </row>
    <row r="20" customFormat="false" ht="15" hidden="false" customHeight="false" outlineLevel="0" collapsed="false">
      <c r="A20" s="15" t="n">
        <v>16</v>
      </c>
      <c r="B20" s="15" t="s">
        <v>97</v>
      </c>
      <c r="C20" s="15" t="s">
        <v>104</v>
      </c>
      <c r="D20" s="15" t="s">
        <v>57</v>
      </c>
      <c r="E20" s="15" t="n">
        <v>30</v>
      </c>
      <c r="F20" s="15" t="n">
        <v>0</v>
      </c>
      <c r="G20" s="15" t="n">
        <v>15</v>
      </c>
      <c r="H20" s="15" t="s">
        <v>105</v>
      </c>
      <c r="I20" s="14" t="s">
        <v>106</v>
      </c>
      <c r="J20" s="15"/>
    </row>
    <row r="21" customFormat="false" ht="15" hidden="false" customHeight="false" outlineLevel="0" collapsed="false">
      <c r="A21" s="13" t="n">
        <v>17</v>
      </c>
      <c r="B21" s="13" t="s">
        <v>97</v>
      </c>
      <c r="C21" s="13" t="s">
        <v>107</v>
      </c>
      <c r="D21" s="13" t="s">
        <v>57</v>
      </c>
      <c r="E21" s="13" t="n">
        <v>30</v>
      </c>
      <c r="F21" s="13" t="n">
        <v>0</v>
      </c>
      <c r="G21" s="13" t="n">
        <v>6</v>
      </c>
      <c r="H21" s="13" t="s">
        <v>108</v>
      </c>
      <c r="I21" s="14" t="s">
        <v>109</v>
      </c>
      <c r="J21" s="13"/>
    </row>
    <row r="22" customFormat="false" ht="15" hidden="false" customHeight="false" outlineLevel="0" collapsed="false">
      <c r="A22" s="15" t="n">
        <v>18</v>
      </c>
      <c r="B22" s="15" t="s">
        <v>97</v>
      </c>
      <c r="C22" s="15" t="s">
        <v>110</v>
      </c>
      <c r="D22" s="15" t="s">
        <v>57</v>
      </c>
      <c r="E22" s="15" t="n">
        <v>30</v>
      </c>
      <c r="F22" s="15" t="n">
        <v>0</v>
      </c>
      <c r="G22" s="15" t="n">
        <v>6</v>
      </c>
      <c r="H22" s="15" t="s">
        <v>111</v>
      </c>
      <c r="I22" s="14" t="s">
        <v>112</v>
      </c>
      <c r="J22" s="15"/>
    </row>
    <row r="23" customFormat="false" ht="15" hidden="false" customHeight="false" outlineLevel="0" collapsed="false">
      <c r="A23" s="13" t="n">
        <v>19</v>
      </c>
      <c r="B23" s="13" t="s">
        <v>97</v>
      </c>
      <c r="C23" s="13" t="s">
        <v>113</v>
      </c>
      <c r="D23" s="13" t="s">
        <v>57</v>
      </c>
      <c r="E23" s="13" t="n">
        <v>30</v>
      </c>
      <c r="F23" s="13" t="n">
        <v>0</v>
      </c>
      <c r="G23" s="13" t="n">
        <v>18</v>
      </c>
      <c r="H23" s="13" t="s">
        <v>114</v>
      </c>
      <c r="I23" s="14" t="s">
        <v>115</v>
      </c>
      <c r="J23" s="13"/>
    </row>
    <row r="24" customFormat="false" ht="15" hidden="false" customHeight="false" outlineLevel="0" collapsed="false">
      <c r="A24" s="15" t="n">
        <v>20</v>
      </c>
      <c r="B24" s="15" t="s">
        <v>97</v>
      </c>
      <c r="C24" s="15" t="s">
        <v>116</v>
      </c>
      <c r="D24" s="15" t="s">
        <v>82</v>
      </c>
      <c r="E24" s="15" t="n">
        <v>30</v>
      </c>
      <c r="F24" s="15" t="n">
        <v>0</v>
      </c>
      <c r="G24" s="15" t="n">
        <v>30</v>
      </c>
      <c r="H24" s="15" t="s">
        <v>117</v>
      </c>
      <c r="I24" s="14" t="s">
        <v>118</v>
      </c>
      <c r="J24" s="15"/>
    </row>
    <row r="25" customFormat="false" ht="15" hidden="false" customHeight="false" outlineLevel="0" collapsed="false">
      <c r="A25" s="13" t="n">
        <v>21</v>
      </c>
      <c r="B25" s="13" t="s">
        <v>97</v>
      </c>
      <c r="C25" s="13" t="s">
        <v>119</v>
      </c>
      <c r="D25" s="13" t="s">
        <v>82</v>
      </c>
      <c r="E25" s="13" t="n">
        <v>30</v>
      </c>
      <c r="F25" s="13" t="n">
        <v>0</v>
      </c>
      <c r="G25" s="13" t="n">
        <v>28</v>
      </c>
      <c r="H25" s="13" t="s">
        <v>120</v>
      </c>
      <c r="I25" s="14" t="s">
        <v>121</v>
      </c>
      <c r="J25" s="13"/>
    </row>
    <row r="26" customFormat="false" ht="15" hidden="false" customHeight="false" outlineLevel="0" collapsed="false">
      <c r="A26" s="15" t="n">
        <v>22</v>
      </c>
      <c r="B26" s="15" t="s">
        <v>97</v>
      </c>
      <c r="C26" s="15" t="s">
        <v>122</v>
      </c>
      <c r="D26" s="15" t="s">
        <v>123</v>
      </c>
      <c r="E26" s="15" t="n">
        <v>30</v>
      </c>
      <c r="F26" s="15" t="n">
        <v>0</v>
      </c>
      <c r="G26" s="15" t="n">
        <v>30</v>
      </c>
      <c r="H26" s="15" t="s">
        <v>124</v>
      </c>
      <c r="I26" s="14" t="s">
        <v>125</v>
      </c>
      <c r="J26" s="15"/>
    </row>
    <row r="27" customFormat="false" ht="15" hidden="false" customHeight="false" outlineLevel="0" collapsed="false">
      <c r="A27" s="13" t="n">
        <v>23</v>
      </c>
      <c r="B27" s="13" t="s">
        <v>97</v>
      </c>
      <c r="C27" s="13" t="s">
        <v>126</v>
      </c>
      <c r="D27" s="13" t="s">
        <v>82</v>
      </c>
      <c r="E27" s="13" t="n">
        <v>30</v>
      </c>
      <c r="F27" s="13" t="n">
        <v>0</v>
      </c>
      <c r="G27" s="13" t="n">
        <v>2</v>
      </c>
      <c r="H27" s="13" t="s">
        <v>127</v>
      </c>
      <c r="I27" s="14" t="s">
        <v>128</v>
      </c>
      <c r="J27" s="13"/>
    </row>
    <row r="28" customFormat="false" ht="15" hidden="false" customHeight="false" outlineLevel="0" collapsed="false">
      <c r="A28" s="15" t="n">
        <v>24</v>
      </c>
      <c r="B28" s="15" t="s">
        <v>97</v>
      </c>
      <c r="C28" s="15" t="s">
        <v>129</v>
      </c>
      <c r="D28" s="15" t="s">
        <v>123</v>
      </c>
      <c r="E28" s="15" t="n">
        <v>30</v>
      </c>
      <c r="F28" s="15" t="n">
        <v>0</v>
      </c>
      <c r="G28" s="15" t="n">
        <v>29</v>
      </c>
      <c r="H28" s="15" t="s">
        <v>130</v>
      </c>
      <c r="I28" s="14" t="s">
        <v>131</v>
      </c>
      <c r="J28" s="15"/>
    </row>
    <row r="29" customFormat="false" ht="15" hidden="false" customHeight="false" outlineLevel="0" collapsed="false">
      <c r="A29" s="13" t="n">
        <v>25</v>
      </c>
      <c r="B29" s="13" t="s">
        <v>97</v>
      </c>
      <c r="C29" s="13" t="s">
        <v>132</v>
      </c>
      <c r="D29" s="13" t="s">
        <v>57</v>
      </c>
      <c r="E29" s="13" t="n">
        <v>30</v>
      </c>
      <c r="F29" s="13" t="n">
        <v>0</v>
      </c>
      <c r="G29" s="13" t="n">
        <v>29</v>
      </c>
      <c r="H29" s="13" t="s">
        <v>133</v>
      </c>
      <c r="I29" s="14" t="s">
        <v>134</v>
      </c>
      <c r="J29" s="13"/>
    </row>
    <row r="30" customFormat="false" ht="15" hidden="false" customHeight="false" outlineLevel="0" collapsed="false">
      <c r="A30" s="15" t="n">
        <v>26</v>
      </c>
      <c r="B30" s="15" t="s">
        <v>97</v>
      </c>
      <c r="C30" s="15" t="s">
        <v>135</v>
      </c>
      <c r="D30" s="15" t="s">
        <v>57</v>
      </c>
      <c r="E30" s="15" t="n">
        <v>30</v>
      </c>
      <c r="F30" s="15" t="n">
        <v>0</v>
      </c>
      <c r="G30" s="15" t="n">
        <v>10</v>
      </c>
      <c r="H30" s="15" t="s">
        <v>136</v>
      </c>
      <c r="I30" s="14" t="s">
        <v>137</v>
      </c>
      <c r="J30" s="15"/>
    </row>
    <row r="31" customFormat="false" ht="15" hidden="false" customHeight="false" outlineLevel="0" collapsed="false">
      <c r="A31" s="13" t="n">
        <v>27</v>
      </c>
      <c r="B31" s="13" t="s">
        <v>97</v>
      </c>
      <c r="C31" s="13" t="s">
        <v>138</v>
      </c>
      <c r="D31" s="13" t="s">
        <v>82</v>
      </c>
      <c r="E31" s="13" t="n">
        <v>30</v>
      </c>
      <c r="F31" s="13" t="n">
        <v>0</v>
      </c>
      <c r="G31" s="13" t="n">
        <v>5</v>
      </c>
      <c r="H31" s="13" t="s">
        <v>139</v>
      </c>
      <c r="I31" s="14" t="s">
        <v>140</v>
      </c>
      <c r="J31" s="13"/>
    </row>
    <row r="32" customFormat="false" ht="15" hidden="false" customHeight="false" outlineLevel="0" collapsed="false">
      <c r="A32" s="15" t="n">
        <v>28</v>
      </c>
      <c r="B32" s="15" t="s">
        <v>97</v>
      </c>
      <c r="C32" s="15" t="s">
        <v>141</v>
      </c>
      <c r="D32" s="15" t="s">
        <v>82</v>
      </c>
      <c r="E32" s="15" t="n">
        <v>30</v>
      </c>
      <c r="F32" s="15" t="n">
        <v>0</v>
      </c>
      <c r="G32" s="15" t="n">
        <v>20</v>
      </c>
      <c r="H32" s="15" t="s">
        <v>142</v>
      </c>
      <c r="I32" s="14" t="s">
        <v>143</v>
      </c>
      <c r="J32" s="15"/>
    </row>
    <row r="33" customFormat="false" ht="15" hidden="false" customHeight="false" outlineLevel="0" collapsed="false">
      <c r="A33" s="13" t="n">
        <v>29</v>
      </c>
      <c r="B33" s="13" t="s">
        <v>97</v>
      </c>
      <c r="C33" s="13" t="s">
        <v>144</v>
      </c>
      <c r="D33" s="13" t="s">
        <v>82</v>
      </c>
      <c r="E33" s="13" t="n">
        <v>30</v>
      </c>
      <c r="F33" s="13" t="n">
        <v>0</v>
      </c>
      <c r="G33" s="13" t="n">
        <v>17</v>
      </c>
      <c r="H33" s="13" t="s">
        <v>145</v>
      </c>
      <c r="I33" s="14" t="s">
        <v>146</v>
      </c>
      <c r="J33" s="13"/>
    </row>
    <row r="34" customFormat="false" ht="15" hidden="false" customHeight="false" outlineLevel="0" collapsed="false">
      <c r="A34" s="15" t="n">
        <v>30</v>
      </c>
      <c r="B34" s="15" t="s">
        <v>97</v>
      </c>
      <c r="C34" s="15" t="s">
        <v>147</v>
      </c>
      <c r="D34" s="15" t="s">
        <v>82</v>
      </c>
      <c r="E34" s="15" t="n">
        <v>30</v>
      </c>
      <c r="F34" s="15" t="n">
        <v>0</v>
      </c>
      <c r="G34" s="15" t="n">
        <v>19</v>
      </c>
      <c r="H34" s="15" t="s">
        <v>148</v>
      </c>
      <c r="I34" s="14" t="s">
        <v>149</v>
      </c>
      <c r="J34" s="15"/>
    </row>
    <row r="35" customFormat="false" ht="15" hidden="false" customHeight="false" outlineLevel="0" collapsed="false">
      <c r="A35" s="13" t="n">
        <v>31</v>
      </c>
      <c r="B35" s="13" t="s">
        <v>97</v>
      </c>
      <c r="C35" s="13" t="s">
        <v>150</v>
      </c>
      <c r="D35" s="13" t="s">
        <v>82</v>
      </c>
      <c r="E35" s="13" t="n">
        <v>30</v>
      </c>
      <c r="F35" s="13" t="n">
        <v>0</v>
      </c>
      <c r="G35" s="13" t="n">
        <v>19</v>
      </c>
      <c r="H35" s="13" t="s">
        <v>151</v>
      </c>
      <c r="I35" s="14" t="s">
        <v>152</v>
      </c>
      <c r="J35" s="13"/>
    </row>
    <row r="36" customFormat="false" ht="15" hidden="false" customHeight="false" outlineLevel="0" collapsed="false">
      <c r="A36" s="15" t="n">
        <v>32</v>
      </c>
      <c r="B36" s="15" t="s">
        <v>97</v>
      </c>
      <c r="C36" s="15" t="s">
        <v>153</v>
      </c>
      <c r="D36" s="15" t="s">
        <v>57</v>
      </c>
      <c r="E36" s="15" t="n">
        <v>30</v>
      </c>
      <c r="F36" s="15" t="n">
        <v>0</v>
      </c>
      <c r="G36" s="15" t="n">
        <v>3</v>
      </c>
      <c r="H36" s="15" t="s">
        <v>154</v>
      </c>
      <c r="I36" s="14" t="s">
        <v>155</v>
      </c>
      <c r="J36" s="15"/>
    </row>
    <row r="37" customFormat="false" ht="15" hidden="false" customHeight="false" outlineLevel="0" collapsed="false">
      <c r="A37" s="13" t="n">
        <v>33</v>
      </c>
      <c r="B37" s="13" t="s">
        <v>97</v>
      </c>
      <c r="C37" s="13" t="s">
        <v>156</v>
      </c>
      <c r="D37" s="13" t="s">
        <v>57</v>
      </c>
      <c r="E37" s="13" t="n">
        <v>30</v>
      </c>
      <c r="F37" s="13" t="n">
        <v>0</v>
      </c>
      <c r="G37" s="13" t="n">
        <v>3</v>
      </c>
      <c r="H37" s="13" t="s">
        <v>157</v>
      </c>
      <c r="I37" s="14" t="s">
        <v>155</v>
      </c>
      <c r="J37" s="13"/>
    </row>
    <row r="38" customFormat="false" ht="15" hidden="false" customHeight="false" outlineLevel="0" collapsed="false">
      <c r="A38" s="15" t="n">
        <v>34</v>
      </c>
      <c r="B38" s="15" t="s">
        <v>97</v>
      </c>
      <c r="C38" s="15" t="s">
        <v>158</v>
      </c>
      <c r="D38" s="15" t="s">
        <v>57</v>
      </c>
      <c r="E38" s="15" t="n">
        <v>30</v>
      </c>
      <c r="F38" s="15" t="n">
        <v>0</v>
      </c>
      <c r="G38" s="15" t="n">
        <v>3</v>
      </c>
      <c r="H38" s="15" t="s">
        <v>159</v>
      </c>
      <c r="I38" s="14" t="s">
        <v>160</v>
      </c>
      <c r="J38" s="15"/>
    </row>
    <row r="39" customFormat="false" ht="15" hidden="false" customHeight="false" outlineLevel="0" collapsed="false">
      <c r="A39" s="13" t="n">
        <v>35</v>
      </c>
      <c r="B39" s="13" t="s">
        <v>97</v>
      </c>
      <c r="C39" s="13" t="s">
        <v>161</v>
      </c>
      <c r="D39" s="13" t="s">
        <v>82</v>
      </c>
      <c r="E39" s="13" t="n">
        <v>30</v>
      </c>
      <c r="F39" s="13" t="n">
        <v>0</v>
      </c>
      <c r="G39" s="13" t="n">
        <v>30</v>
      </c>
      <c r="H39" s="13" t="s">
        <v>162</v>
      </c>
      <c r="I39" s="14" t="s">
        <v>163</v>
      </c>
      <c r="J39" s="13"/>
    </row>
    <row r="40" customFormat="false" ht="15" hidden="false" customHeight="false" outlineLevel="0" collapsed="false">
      <c r="A40" s="15" t="n">
        <v>36</v>
      </c>
      <c r="B40" s="15" t="s">
        <v>97</v>
      </c>
      <c r="C40" s="15" t="s">
        <v>164</v>
      </c>
      <c r="D40" s="15" t="s">
        <v>165</v>
      </c>
      <c r="E40" s="15" t="n">
        <v>30</v>
      </c>
      <c r="F40" s="15" t="n">
        <v>0</v>
      </c>
      <c r="G40" s="15" t="n">
        <v>30</v>
      </c>
      <c r="H40" s="15" t="s">
        <v>166</v>
      </c>
      <c r="I40" s="14" t="s">
        <v>167</v>
      </c>
      <c r="J40" s="15"/>
    </row>
    <row r="41" customFormat="false" ht="15" hidden="false" customHeight="false" outlineLevel="0" collapsed="false">
      <c r="A41" s="13" t="n">
        <v>37</v>
      </c>
      <c r="B41" s="13" t="s">
        <v>168</v>
      </c>
      <c r="C41" s="13" t="s">
        <v>169</v>
      </c>
      <c r="D41" s="13" t="s">
        <v>57</v>
      </c>
      <c r="E41" s="13" t="n">
        <v>8</v>
      </c>
      <c r="F41" s="13" t="n">
        <v>0</v>
      </c>
      <c r="G41" s="13" t="n">
        <v>8</v>
      </c>
      <c r="H41" s="13" t="s">
        <v>170</v>
      </c>
      <c r="I41" s="14" t="s">
        <v>171</v>
      </c>
      <c r="J41" s="13" t="s">
        <v>60</v>
      </c>
    </row>
    <row r="42" customFormat="false" ht="15" hidden="false" customHeight="false" outlineLevel="0" collapsed="false">
      <c r="A42" s="15" t="n">
        <v>38</v>
      </c>
      <c r="B42" s="15" t="s">
        <v>168</v>
      </c>
      <c r="C42" s="15" t="s">
        <v>172</v>
      </c>
      <c r="D42" s="15" t="s">
        <v>57</v>
      </c>
      <c r="E42" s="15" t="n">
        <v>8</v>
      </c>
      <c r="F42" s="15" t="n">
        <v>0</v>
      </c>
      <c r="G42" s="15" t="n">
        <v>8</v>
      </c>
      <c r="H42" s="15" t="s">
        <v>173</v>
      </c>
      <c r="I42" s="14" t="s">
        <v>174</v>
      </c>
      <c r="J42" s="15"/>
    </row>
    <row r="43" customFormat="false" ht="15" hidden="false" customHeight="false" outlineLevel="0" collapsed="false">
      <c r="A43" s="13" t="n">
        <v>39</v>
      </c>
      <c r="B43" s="13" t="s">
        <v>168</v>
      </c>
      <c r="C43" s="13" t="s">
        <v>175</v>
      </c>
      <c r="D43" s="13" t="s">
        <v>57</v>
      </c>
      <c r="E43" s="13" t="n">
        <v>8</v>
      </c>
      <c r="F43" s="13" t="n">
        <v>0</v>
      </c>
      <c r="G43" s="13" t="n">
        <v>3</v>
      </c>
      <c r="H43" s="13" t="s">
        <v>176</v>
      </c>
      <c r="I43" s="14" t="s">
        <v>177</v>
      </c>
      <c r="J43" s="13"/>
    </row>
    <row r="44" customFormat="false" ht="15" hidden="false" customHeight="false" outlineLevel="0" collapsed="false">
      <c r="A44" s="15" t="n">
        <v>40</v>
      </c>
      <c r="B44" s="15" t="s">
        <v>168</v>
      </c>
      <c r="C44" s="15" t="s">
        <v>178</v>
      </c>
      <c r="D44" s="15" t="s">
        <v>57</v>
      </c>
      <c r="E44" s="15" t="n">
        <v>8</v>
      </c>
      <c r="F44" s="15" t="n">
        <v>0</v>
      </c>
      <c r="G44" s="15" t="n">
        <v>3</v>
      </c>
      <c r="H44" s="15" t="s">
        <v>179</v>
      </c>
      <c r="I44" s="14" t="s">
        <v>180</v>
      </c>
      <c r="J44" s="15"/>
    </row>
    <row r="45" customFormat="false" ht="15" hidden="false" customHeight="false" outlineLevel="0" collapsed="false">
      <c r="A45" s="13" t="n">
        <v>41</v>
      </c>
      <c r="B45" s="13" t="s">
        <v>168</v>
      </c>
      <c r="C45" s="13" t="s">
        <v>64</v>
      </c>
      <c r="D45" s="13" t="s">
        <v>57</v>
      </c>
      <c r="E45" s="13" t="n">
        <v>8</v>
      </c>
      <c r="F45" s="13" t="n">
        <v>0</v>
      </c>
      <c r="G45" s="13" t="n">
        <v>8</v>
      </c>
      <c r="H45" s="13" t="s">
        <v>181</v>
      </c>
      <c r="I45" s="14" t="s">
        <v>182</v>
      </c>
      <c r="J45" s="13"/>
    </row>
    <row r="46" customFormat="false" ht="15" hidden="false" customHeight="false" outlineLevel="0" collapsed="false">
      <c r="A46" s="15" t="n">
        <v>42</v>
      </c>
      <c r="B46" s="15" t="s">
        <v>168</v>
      </c>
      <c r="C46" s="15" t="s">
        <v>183</v>
      </c>
      <c r="D46" s="15" t="s">
        <v>57</v>
      </c>
      <c r="E46" s="15" t="n">
        <v>8</v>
      </c>
      <c r="F46" s="15" t="n">
        <v>0</v>
      </c>
      <c r="G46" s="15" t="n">
        <v>6</v>
      </c>
      <c r="H46" s="15" t="s">
        <v>184</v>
      </c>
      <c r="I46" s="14" t="s">
        <v>185</v>
      </c>
      <c r="J46" s="15"/>
    </row>
    <row r="47" customFormat="false" ht="15" hidden="false" customHeight="false" outlineLevel="0" collapsed="false">
      <c r="A47" s="13" t="n">
        <v>43</v>
      </c>
      <c r="B47" s="13" t="s">
        <v>168</v>
      </c>
      <c r="C47" s="13" t="s">
        <v>69</v>
      </c>
      <c r="D47" s="13" t="s">
        <v>57</v>
      </c>
      <c r="E47" s="13" t="n">
        <v>8</v>
      </c>
      <c r="F47" s="13" t="n">
        <v>0</v>
      </c>
      <c r="G47" s="13" t="n">
        <v>3</v>
      </c>
      <c r="H47" s="13" t="s">
        <v>186</v>
      </c>
      <c r="I47" s="14" t="s">
        <v>187</v>
      </c>
      <c r="J47" s="13"/>
    </row>
    <row r="48" customFormat="false" ht="15" hidden="false" customHeight="false" outlineLevel="0" collapsed="false">
      <c r="A48" s="15" t="n">
        <v>44</v>
      </c>
      <c r="B48" s="15" t="s">
        <v>168</v>
      </c>
      <c r="C48" s="15" t="s">
        <v>188</v>
      </c>
      <c r="D48" s="15" t="s">
        <v>82</v>
      </c>
      <c r="E48" s="15" t="n">
        <v>8</v>
      </c>
      <c r="F48" s="15" t="n">
        <v>0</v>
      </c>
      <c r="G48" s="15" t="n">
        <v>8</v>
      </c>
      <c r="H48" s="15" t="s">
        <v>189</v>
      </c>
      <c r="I48" s="14" t="s">
        <v>190</v>
      </c>
      <c r="J48" s="15"/>
    </row>
    <row r="49" customFormat="false" ht="15" hidden="false" customHeight="false" outlineLevel="0" collapsed="false">
      <c r="A49" s="13" t="n">
        <v>45</v>
      </c>
      <c r="B49" s="13" t="s">
        <v>168</v>
      </c>
      <c r="C49" s="13" t="s">
        <v>150</v>
      </c>
      <c r="D49" s="13" t="s">
        <v>82</v>
      </c>
      <c r="E49" s="13" t="n">
        <v>8</v>
      </c>
      <c r="F49" s="13" t="n">
        <v>0</v>
      </c>
      <c r="G49" s="13" t="n">
        <v>7</v>
      </c>
      <c r="H49" s="13" t="s">
        <v>191</v>
      </c>
      <c r="I49" s="14" t="s">
        <v>192</v>
      </c>
      <c r="J49" s="13"/>
    </row>
    <row r="50" customFormat="false" ht="15" hidden="false" customHeight="false" outlineLevel="0" collapsed="false">
      <c r="A50" s="15" t="n">
        <v>46</v>
      </c>
      <c r="B50" s="15" t="s">
        <v>168</v>
      </c>
      <c r="C50" s="15" t="s">
        <v>193</v>
      </c>
      <c r="D50" s="15" t="s">
        <v>82</v>
      </c>
      <c r="E50" s="15" t="n">
        <v>8</v>
      </c>
      <c r="F50" s="15" t="n">
        <v>0</v>
      </c>
      <c r="G50" s="15" t="n">
        <v>3</v>
      </c>
      <c r="H50" s="15" t="s">
        <v>194</v>
      </c>
      <c r="I50" s="14" t="s">
        <v>195</v>
      </c>
      <c r="J50" s="15"/>
    </row>
    <row r="51" customFormat="false" ht="15" hidden="false" customHeight="false" outlineLevel="0" collapsed="false">
      <c r="A51" s="13" t="n">
        <v>47</v>
      </c>
      <c r="B51" s="13" t="s">
        <v>168</v>
      </c>
      <c r="C51" s="13" t="s">
        <v>196</v>
      </c>
      <c r="D51" s="13" t="s">
        <v>82</v>
      </c>
      <c r="E51" s="13" t="n">
        <v>8</v>
      </c>
      <c r="F51" s="13" t="n">
        <v>0</v>
      </c>
      <c r="G51" s="13" t="n">
        <v>4</v>
      </c>
      <c r="H51" s="13" t="s">
        <v>197</v>
      </c>
      <c r="I51" s="14" t="s">
        <v>198</v>
      </c>
      <c r="J51" s="13"/>
    </row>
    <row r="52" customFormat="false" ht="15" hidden="false" customHeight="false" outlineLevel="0" collapsed="false">
      <c r="A52" s="15" t="n">
        <v>48</v>
      </c>
      <c r="B52" s="15" t="s">
        <v>168</v>
      </c>
      <c r="C52" s="15" t="s">
        <v>199</v>
      </c>
      <c r="D52" s="15" t="s">
        <v>57</v>
      </c>
      <c r="E52" s="15" t="n">
        <v>8</v>
      </c>
      <c r="F52" s="15" t="n">
        <v>0</v>
      </c>
      <c r="G52" s="15" t="n">
        <v>8</v>
      </c>
      <c r="H52" s="15" t="s">
        <v>200</v>
      </c>
      <c r="I52" s="14" t="s">
        <v>201</v>
      </c>
      <c r="J52" s="15"/>
    </row>
    <row r="53" customFormat="false" ht="15" hidden="false" customHeight="false" outlineLevel="0" collapsed="false">
      <c r="A53" s="13" t="n">
        <v>49</v>
      </c>
      <c r="B53" s="13" t="s">
        <v>202</v>
      </c>
      <c r="C53" s="13" t="s">
        <v>203</v>
      </c>
      <c r="D53" s="13" t="s">
        <v>57</v>
      </c>
      <c r="E53" s="13" t="n">
        <v>500</v>
      </c>
      <c r="F53" s="13" t="n">
        <v>0</v>
      </c>
      <c r="G53" s="13" t="n">
        <v>500</v>
      </c>
      <c r="H53" s="13" t="s">
        <v>204</v>
      </c>
      <c r="I53" s="14" t="s">
        <v>205</v>
      </c>
      <c r="J53" s="13" t="s">
        <v>60</v>
      </c>
    </row>
    <row r="54" customFormat="false" ht="15" hidden="false" customHeight="false" outlineLevel="0" collapsed="false">
      <c r="A54" s="15" t="n">
        <v>50</v>
      </c>
      <c r="B54" s="15" t="s">
        <v>202</v>
      </c>
      <c r="C54" s="15" t="s">
        <v>206</v>
      </c>
      <c r="D54" s="15" t="s">
        <v>57</v>
      </c>
      <c r="E54" s="15" t="n">
        <v>500</v>
      </c>
      <c r="F54" s="15" t="n">
        <v>0</v>
      </c>
      <c r="G54" s="15" t="n">
        <v>5</v>
      </c>
      <c r="H54" s="15" t="s">
        <v>207</v>
      </c>
      <c r="I54" s="14" t="s">
        <v>208</v>
      </c>
      <c r="J54" s="15"/>
    </row>
    <row r="55" customFormat="false" ht="15" hidden="false" customHeight="false" outlineLevel="0" collapsed="false">
      <c r="A55" s="13" t="n">
        <v>51</v>
      </c>
      <c r="B55" s="13" t="s">
        <v>202</v>
      </c>
      <c r="C55" s="13" t="s">
        <v>209</v>
      </c>
      <c r="D55" s="13" t="s">
        <v>57</v>
      </c>
      <c r="E55" s="13" t="n">
        <v>500</v>
      </c>
      <c r="F55" s="13" t="n">
        <v>0</v>
      </c>
      <c r="G55" s="13" t="n">
        <v>6</v>
      </c>
      <c r="H55" s="13" t="s">
        <v>210</v>
      </c>
      <c r="I55" s="14" t="s">
        <v>211</v>
      </c>
      <c r="J55" s="13"/>
    </row>
    <row r="56" customFormat="false" ht="15" hidden="false" customHeight="false" outlineLevel="0" collapsed="false">
      <c r="A56" s="15" t="n">
        <v>52</v>
      </c>
      <c r="B56" s="15" t="s">
        <v>202</v>
      </c>
      <c r="C56" s="15" t="s">
        <v>64</v>
      </c>
      <c r="D56" s="15" t="s">
        <v>57</v>
      </c>
      <c r="E56" s="15" t="n">
        <v>500</v>
      </c>
      <c r="F56" s="15" t="n">
        <v>0</v>
      </c>
      <c r="G56" s="15" t="n">
        <v>21</v>
      </c>
      <c r="H56" s="15" t="s">
        <v>212</v>
      </c>
      <c r="I56" s="14" t="s">
        <v>66</v>
      </c>
      <c r="J56" s="15"/>
    </row>
    <row r="57" customFormat="false" ht="15" hidden="false" customHeight="false" outlineLevel="0" collapsed="false">
      <c r="A57" s="13" t="n">
        <v>53</v>
      </c>
      <c r="B57" s="13" t="s">
        <v>202</v>
      </c>
      <c r="C57" s="13" t="s">
        <v>67</v>
      </c>
      <c r="D57" s="13" t="s">
        <v>57</v>
      </c>
      <c r="E57" s="13" t="n">
        <v>500</v>
      </c>
      <c r="F57" s="13" t="n">
        <v>0</v>
      </c>
      <c r="G57" s="13" t="n">
        <v>16</v>
      </c>
      <c r="H57" s="13" t="s">
        <v>213</v>
      </c>
      <c r="I57" s="14" t="s">
        <v>214</v>
      </c>
      <c r="J57" s="13"/>
    </row>
    <row r="58" customFormat="false" ht="15" hidden="false" customHeight="false" outlineLevel="0" collapsed="false">
      <c r="A58" s="15" t="n">
        <v>54</v>
      </c>
      <c r="B58" s="15" t="s">
        <v>202</v>
      </c>
      <c r="C58" s="15" t="s">
        <v>188</v>
      </c>
      <c r="D58" s="15" t="s">
        <v>82</v>
      </c>
      <c r="E58" s="15" t="n">
        <v>500</v>
      </c>
      <c r="F58" s="15" t="n">
        <v>0</v>
      </c>
      <c r="G58" s="15" t="n">
        <v>500</v>
      </c>
      <c r="H58" s="15" t="s">
        <v>215</v>
      </c>
      <c r="I58" s="14" t="s">
        <v>216</v>
      </c>
      <c r="J58" s="15"/>
    </row>
    <row r="59" customFormat="false" ht="15" hidden="false" customHeight="false" outlineLevel="0" collapsed="false">
      <c r="A59" s="13" t="n">
        <v>55</v>
      </c>
      <c r="B59" s="13" t="s">
        <v>202</v>
      </c>
      <c r="C59" s="13" t="s">
        <v>69</v>
      </c>
      <c r="D59" s="13" t="s">
        <v>57</v>
      </c>
      <c r="E59" s="13" t="n">
        <v>500</v>
      </c>
      <c r="F59" s="13" t="n">
        <v>0</v>
      </c>
      <c r="G59" s="13" t="n">
        <v>6</v>
      </c>
      <c r="H59" s="13" t="s">
        <v>217</v>
      </c>
      <c r="I59" s="14" t="s">
        <v>71</v>
      </c>
      <c r="J59" s="13"/>
    </row>
    <row r="60" customFormat="false" ht="15" hidden="false" customHeight="false" outlineLevel="0" collapsed="false">
      <c r="A60" s="15" t="n">
        <v>56</v>
      </c>
      <c r="B60" s="15" t="s">
        <v>202</v>
      </c>
      <c r="C60" s="15" t="s">
        <v>56</v>
      </c>
      <c r="D60" s="15" t="s">
        <v>57</v>
      </c>
      <c r="E60" s="15" t="n">
        <v>500</v>
      </c>
      <c r="F60" s="15" t="n">
        <v>0</v>
      </c>
      <c r="G60" s="15" t="n">
        <v>6</v>
      </c>
      <c r="H60" s="15" t="s">
        <v>218</v>
      </c>
      <c r="I60" s="14" t="s">
        <v>219</v>
      </c>
      <c r="J60" s="15" t="s">
        <v>220</v>
      </c>
    </row>
    <row r="61" customFormat="false" ht="15" hidden="false" customHeight="false" outlineLevel="0" collapsed="false">
      <c r="A61" s="13" t="n">
        <v>57</v>
      </c>
      <c r="B61" s="13" t="s">
        <v>202</v>
      </c>
      <c r="C61" s="13" t="s">
        <v>221</v>
      </c>
      <c r="D61" s="13" t="s">
        <v>82</v>
      </c>
      <c r="E61" s="13" t="n">
        <v>500</v>
      </c>
      <c r="F61" s="13" t="n">
        <v>0</v>
      </c>
      <c r="G61" s="13" t="n">
        <v>500</v>
      </c>
      <c r="H61" s="13" t="s">
        <v>222</v>
      </c>
      <c r="I61" s="14" t="s">
        <v>223</v>
      </c>
      <c r="J61" s="13"/>
    </row>
    <row r="62" customFormat="false" ht="15" hidden="false" customHeight="false" outlineLevel="0" collapsed="false">
      <c r="A62" s="15" t="n">
        <v>58</v>
      </c>
      <c r="B62" s="15" t="s">
        <v>202</v>
      </c>
      <c r="C62" s="15" t="s">
        <v>224</v>
      </c>
      <c r="D62" s="15" t="s">
        <v>82</v>
      </c>
      <c r="E62" s="15" t="n">
        <v>500</v>
      </c>
      <c r="F62" s="15" t="n">
        <v>0</v>
      </c>
      <c r="G62" s="15" t="n">
        <v>499</v>
      </c>
      <c r="H62" s="15" t="s">
        <v>225</v>
      </c>
      <c r="I62" s="14" t="s">
        <v>226</v>
      </c>
      <c r="J62" s="15"/>
    </row>
    <row r="63" customFormat="false" ht="15" hidden="false" customHeight="false" outlineLevel="0" collapsed="false">
      <c r="A63" s="13" t="n">
        <v>59</v>
      </c>
      <c r="B63" s="13" t="s">
        <v>202</v>
      </c>
      <c r="C63" s="13" t="s">
        <v>227</v>
      </c>
      <c r="D63" s="13" t="s">
        <v>57</v>
      </c>
      <c r="E63" s="13" t="n">
        <v>500</v>
      </c>
      <c r="F63" s="13" t="n">
        <v>0</v>
      </c>
      <c r="G63" s="13" t="n">
        <v>5</v>
      </c>
      <c r="H63" s="13" t="s">
        <v>228</v>
      </c>
      <c r="I63" s="14" t="s">
        <v>229</v>
      </c>
      <c r="J63" s="13"/>
    </row>
    <row r="64" customFormat="false" ht="15" hidden="false" customHeight="false" outlineLevel="0" collapsed="false">
      <c r="A64" s="15" t="n">
        <v>60</v>
      </c>
      <c r="B64" s="15" t="s">
        <v>202</v>
      </c>
      <c r="C64" s="15" t="s">
        <v>230</v>
      </c>
      <c r="D64" s="15" t="s">
        <v>57</v>
      </c>
      <c r="E64" s="15" t="n">
        <v>500</v>
      </c>
      <c r="F64" s="15" t="n">
        <v>0</v>
      </c>
      <c r="G64" s="15" t="n">
        <v>467</v>
      </c>
      <c r="H64" s="15" t="s">
        <v>231</v>
      </c>
      <c r="I64" s="14" t="s">
        <v>232</v>
      </c>
      <c r="J64" s="15"/>
    </row>
    <row r="65" customFormat="false" ht="15" hidden="false" customHeight="false" outlineLevel="0" collapsed="false">
      <c r="A65" s="13" t="n">
        <v>61</v>
      </c>
      <c r="B65" s="13" t="s">
        <v>202</v>
      </c>
      <c r="C65" s="13" t="s">
        <v>164</v>
      </c>
      <c r="D65" s="13" t="s">
        <v>165</v>
      </c>
      <c r="E65" s="13" t="n">
        <v>500</v>
      </c>
      <c r="F65" s="13" t="n">
        <v>0</v>
      </c>
      <c r="G65" s="13" t="n">
        <v>449</v>
      </c>
      <c r="H65" s="13" t="s">
        <v>233</v>
      </c>
      <c r="I65" s="14" t="s">
        <v>234</v>
      </c>
      <c r="J65" s="13"/>
    </row>
    <row r="66" customFormat="false" ht="15" hidden="false" customHeight="false" outlineLevel="0" collapsed="false">
      <c r="A66" s="15" t="n">
        <v>62</v>
      </c>
      <c r="B66" s="15" t="s">
        <v>202</v>
      </c>
      <c r="C66" s="15" t="s">
        <v>235</v>
      </c>
      <c r="D66" s="15" t="s">
        <v>82</v>
      </c>
      <c r="E66" s="15" t="n">
        <v>500</v>
      </c>
      <c r="F66" s="15" t="n">
        <v>0</v>
      </c>
      <c r="G66" s="15" t="n">
        <v>500</v>
      </c>
      <c r="H66" s="15" t="s">
        <v>236</v>
      </c>
      <c r="I66" s="14" t="s">
        <v>237</v>
      </c>
      <c r="J66" s="15"/>
    </row>
    <row r="67" customFormat="false" ht="15" hidden="false" customHeight="false" outlineLevel="0" collapsed="false">
      <c r="A67" s="13" t="n">
        <v>63</v>
      </c>
      <c r="B67" s="13" t="s">
        <v>202</v>
      </c>
      <c r="C67" s="13" t="s">
        <v>238</v>
      </c>
      <c r="D67" s="13" t="s">
        <v>82</v>
      </c>
      <c r="E67" s="13" t="n">
        <v>500</v>
      </c>
      <c r="F67" s="13" t="n">
        <v>0</v>
      </c>
      <c r="G67" s="13" t="n">
        <v>5</v>
      </c>
      <c r="H67" s="13" t="s">
        <v>239</v>
      </c>
      <c r="I67" s="14" t="s">
        <v>240</v>
      </c>
      <c r="J67" s="13"/>
    </row>
    <row r="68" customFormat="false" ht="15" hidden="false" customHeight="false" outlineLevel="0" collapsed="false">
      <c r="A68" s="15" t="n">
        <v>64</v>
      </c>
      <c r="B68" s="15" t="s">
        <v>241</v>
      </c>
      <c r="C68" s="15" t="s">
        <v>98</v>
      </c>
      <c r="D68" s="15" t="s">
        <v>57</v>
      </c>
      <c r="E68" s="15" t="n">
        <v>180</v>
      </c>
      <c r="F68" s="15" t="n">
        <v>0</v>
      </c>
      <c r="G68" s="15" t="n">
        <v>30</v>
      </c>
      <c r="H68" s="15" t="s">
        <v>99</v>
      </c>
      <c r="I68" s="14" t="s">
        <v>242</v>
      </c>
      <c r="J68" s="15" t="s">
        <v>220</v>
      </c>
    </row>
    <row r="69" customFormat="false" ht="15" hidden="false" customHeight="false" outlineLevel="0" collapsed="false">
      <c r="A69" s="13" t="n">
        <v>65</v>
      </c>
      <c r="B69" s="13" t="s">
        <v>241</v>
      </c>
      <c r="C69" s="13" t="s">
        <v>56</v>
      </c>
      <c r="D69" s="13" t="s">
        <v>57</v>
      </c>
      <c r="E69" s="13" t="n">
        <v>180</v>
      </c>
      <c r="F69" s="13" t="n">
        <v>0</v>
      </c>
      <c r="G69" s="13" t="n">
        <v>6</v>
      </c>
      <c r="H69" s="13" t="s">
        <v>58</v>
      </c>
      <c r="I69" s="14" t="s">
        <v>243</v>
      </c>
      <c r="J69" s="13" t="s">
        <v>220</v>
      </c>
    </row>
    <row r="70" customFormat="false" ht="15" hidden="false" customHeight="false" outlineLevel="0" collapsed="false">
      <c r="A70" s="15" t="n">
        <v>66</v>
      </c>
      <c r="B70" s="15" t="s">
        <v>241</v>
      </c>
      <c r="C70" s="15" t="s">
        <v>244</v>
      </c>
      <c r="D70" s="15" t="s">
        <v>82</v>
      </c>
      <c r="E70" s="15" t="n">
        <v>180</v>
      </c>
      <c r="F70" s="15" t="n">
        <v>0</v>
      </c>
      <c r="G70" s="15" t="n">
        <v>127</v>
      </c>
      <c r="H70" s="15" t="s">
        <v>245</v>
      </c>
      <c r="I70" s="14" t="s">
        <v>246</v>
      </c>
      <c r="J70" s="15"/>
    </row>
    <row r="71" customFormat="false" ht="15" hidden="false" customHeight="false" outlineLevel="0" collapsed="false">
      <c r="A71" s="13" t="n">
        <v>67</v>
      </c>
      <c r="B71" s="13" t="s">
        <v>241</v>
      </c>
      <c r="C71" s="13" t="s">
        <v>141</v>
      </c>
      <c r="D71" s="13" t="s">
        <v>82</v>
      </c>
      <c r="E71" s="13" t="n">
        <v>180</v>
      </c>
      <c r="F71" s="13" t="n">
        <v>0</v>
      </c>
      <c r="G71" s="13" t="n">
        <v>75</v>
      </c>
      <c r="H71" s="13" t="s">
        <v>247</v>
      </c>
      <c r="I71" s="14" t="s">
        <v>248</v>
      </c>
      <c r="J71" s="13"/>
    </row>
    <row r="72" customFormat="false" ht="15" hidden="false" customHeight="false" outlineLevel="0" collapsed="false">
      <c r="A72" s="15" t="n">
        <v>68</v>
      </c>
      <c r="B72" s="15" t="s">
        <v>241</v>
      </c>
      <c r="C72" s="15" t="s">
        <v>144</v>
      </c>
      <c r="D72" s="15" t="s">
        <v>82</v>
      </c>
      <c r="E72" s="15" t="n">
        <v>180</v>
      </c>
      <c r="F72" s="15" t="n">
        <v>0</v>
      </c>
      <c r="G72" s="15" t="n">
        <v>63</v>
      </c>
      <c r="H72" s="15" t="s">
        <v>249</v>
      </c>
      <c r="I72" s="14" t="s">
        <v>250</v>
      </c>
      <c r="J72" s="15"/>
    </row>
    <row r="73" customFormat="false" ht="15" hidden="false" customHeight="false" outlineLevel="0" collapsed="false">
      <c r="A73" s="13" t="n">
        <v>69</v>
      </c>
      <c r="B73" s="13" t="s">
        <v>241</v>
      </c>
      <c r="C73" s="13" t="s">
        <v>251</v>
      </c>
      <c r="D73" s="13" t="s">
        <v>82</v>
      </c>
      <c r="E73" s="13" t="n">
        <v>180</v>
      </c>
      <c r="F73" s="13" t="n">
        <v>0</v>
      </c>
      <c r="G73" s="13" t="n">
        <v>148</v>
      </c>
      <c r="H73" s="13" t="s">
        <v>252</v>
      </c>
      <c r="I73" s="14" t="s">
        <v>253</v>
      </c>
      <c r="J73" s="13"/>
    </row>
    <row r="74" customFormat="false" ht="15" hidden="false" customHeight="false" outlineLevel="0" collapsed="false">
      <c r="A74" s="15" t="n">
        <v>70</v>
      </c>
      <c r="B74" s="15" t="s">
        <v>241</v>
      </c>
      <c r="C74" s="15" t="s">
        <v>254</v>
      </c>
      <c r="D74" s="15" t="s">
        <v>82</v>
      </c>
      <c r="E74" s="15" t="n">
        <v>180</v>
      </c>
      <c r="F74" s="15" t="n">
        <v>0</v>
      </c>
      <c r="G74" s="15" t="n">
        <v>180</v>
      </c>
      <c r="H74" s="15" t="s">
        <v>255</v>
      </c>
      <c r="I74" s="14" t="s">
        <v>256</v>
      </c>
      <c r="J74" s="15"/>
    </row>
    <row r="75" customFormat="false" ht="15" hidden="false" customHeight="false" outlineLevel="0" collapsed="false">
      <c r="A75" s="13" t="n">
        <v>71</v>
      </c>
      <c r="B75" s="13" t="s">
        <v>241</v>
      </c>
      <c r="C75" s="13" t="s">
        <v>257</v>
      </c>
      <c r="D75" s="13" t="s">
        <v>57</v>
      </c>
      <c r="E75" s="13" t="n">
        <v>180</v>
      </c>
      <c r="F75" s="13" t="n">
        <v>0</v>
      </c>
      <c r="G75" s="13" t="n">
        <v>95</v>
      </c>
      <c r="H75" s="13" t="s">
        <v>258</v>
      </c>
      <c r="I75" s="14" t="s">
        <v>259</v>
      </c>
      <c r="J75" s="13"/>
    </row>
    <row r="76" customFormat="false" ht="15" hidden="false" customHeight="false" outlineLevel="0" collapsed="false">
      <c r="A76" s="15" t="n">
        <v>72</v>
      </c>
      <c r="B76" s="15" t="s">
        <v>260</v>
      </c>
      <c r="C76" s="15" t="s">
        <v>261</v>
      </c>
      <c r="D76" s="15" t="s">
        <v>57</v>
      </c>
      <c r="E76" s="15" t="n">
        <v>24000</v>
      </c>
      <c r="F76" s="15" t="n">
        <v>0</v>
      </c>
      <c r="G76" s="15" t="n">
        <v>24000</v>
      </c>
      <c r="H76" s="15" t="s">
        <v>262</v>
      </c>
      <c r="I76" s="14" t="s">
        <v>263</v>
      </c>
      <c r="J76" s="15" t="s">
        <v>60</v>
      </c>
    </row>
    <row r="77" customFormat="false" ht="15" hidden="false" customHeight="false" outlineLevel="0" collapsed="false">
      <c r="A77" s="13" t="n">
        <v>73</v>
      </c>
      <c r="B77" s="13" t="s">
        <v>260</v>
      </c>
      <c r="C77" s="13" t="s">
        <v>169</v>
      </c>
      <c r="D77" s="13" t="s">
        <v>57</v>
      </c>
      <c r="E77" s="13" t="n">
        <v>24000</v>
      </c>
      <c r="F77" s="13" t="n">
        <v>0</v>
      </c>
      <c r="G77" s="13" t="n">
        <v>8</v>
      </c>
      <c r="H77" s="13" t="s">
        <v>170</v>
      </c>
      <c r="I77" s="14" t="s">
        <v>264</v>
      </c>
      <c r="J77" s="13" t="s">
        <v>220</v>
      </c>
    </row>
    <row r="78" customFormat="false" ht="15" hidden="false" customHeight="false" outlineLevel="0" collapsed="false">
      <c r="A78" s="15" t="n">
        <v>74</v>
      </c>
      <c r="B78" s="15" t="s">
        <v>260</v>
      </c>
      <c r="C78" s="15" t="s">
        <v>56</v>
      </c>
      <c r="D78" s="15" t="s">
        <v>57</v>
      </c>
      <c r="E78" s="15" t="n">
        <v>24000</v>
      </c>
      <c r="F78" s="15" t="n">
        <v>0</v>
      </c>
      <c r="G78" s="15" t="n">
        <v>6</v>
      </c>
      <c r="H78" s="15" t="s">
        <v>265</v>
      </c>
      <c r="I78" s="14" t="s">
        <v>266</v>
      </c>
      <c r="J78" s="15" t="s">
        <v>220</v>
      </c>
    </row>
    <row r="79" customFormat="false" ht="15" hidden="false" customHeight="false" outlineLevel="0" collapsed="false">
      <c r="A79" s="13" t="n">
        <v>75</v>
      </c>
      <c r="B79" s="13" t="s">
        <v>260</v>
      </c>
      <c r="C79" s="13" t="s">
        <v>267</v>
      </c>
      <c r="D79" s="13" t="s">
        <v>165</v>
      </c>
      <c r="E79" s="13" t="n">
        <v>24000</v>
      </c>
      <c r="F79" s="13" t="n">
        <v>0</v>
      </c>
      <c r="G79" s="13" t="n">
        <v>2192</v>
      </c>
      <c r="H79" s="13" t="s">
        <v>268</v>
      </c>
      <c r="I79" s="14" t="s">
        <v>269</v>
      </c>
      <c r="J79" s="13"/>
    </row>
    <row r="80" customFormat="false" ht="15" hidden="false" customHeight="false" outlineLevel="0" collapsed="false">
      <c r="A80" s="15" t="n">
        <v>76</v>
      </c>
      <c r="B80" s="15" t="s">
        <v>260</v>
      </c>
      <c r="C80" s="15" t="s">
        <v>270</v>
      </c>
      <c r="D80" s="15" t="s">
        <v>165</v>
      </c>
      <c r="E80" s="15" t="n">
        <v>24000</v>
      </c>
      <c r="F80" s="15" t="n">
        <v>0</v>
      </c>
      <c r="G80" s="15" t="n">
        <v>2207</v>
      </c>
      <c r="H80" s="15" t="s">
        <v>271</v>
      </c>
      <c r="I80" s="14" t="s">
        <v>272</v>
      </c>
      <c r="J80" s="15"/>
    </row>
    <row r="81" customFormat="false" ht="15" hidden="false" customHeight="false" outlineLevel="0" collapsed="false">
      <c r="A81" s="13" t="n">
        <v>77</v>
      </c>
      <c r="B81" s="13" t="s">
        <v>260</v>
      </c>
      <c r="C81" s="13" t="s">
        <v>273</v>
      </c>
      <c r="D81" s="13" t="s">
        <v>165</v>
      </c>
      <c r="E81" s="13" t="n">
        <v>21630</v>
      </c>
      <c r="F81" s="13" t="n">
        <v>2370</v>
      </c>
      <c r="G81" s="13" t="n">
        <v>2207</v>
      </c>
      <c r="H81" s="13" t="s">
        <v>271</v>
      </c>
      <c r="I81" s="14" t="s">
        <v>274</v>
      </c>
      <c r="J81" s="13"/>
    </row>
    <row r="82" customFormat="false" ht="15" hidden="false" customHeight="false" outlineLevel="0" collapsed="false">
      <c r="A82" s="15" t="n">
        <v>78</v>
      </c>
      <c r="B82" s="15" t="s">
        <v>260</v>
      </c>
      <c r="C82" s="15" t="s">
        <v>275</v>
      </c>
      <c r="D82" s="15" t="s">
        <v>57</v>
      </c>
      <c r="E82" s="15" t="n">
        <v>24000</v>
      </c>
      <c r="F82" s="15" t="n">
        <v>0</v>
      </c>
      <c r="G82" s="15" t="n">
        <v>2</v>
      </c>
      <c r="H82" s="15" t="s">
        <v>276</v>
      </c>
      <c r="I82" s="14" t="s">
        <v>277</v>
      </c>
      <c r="J82" s="15"/>
    </row>
    <row r="83" customFormat="false" ht="15" hidden="false" customHeight="false" outlineLevel="0" collapsed="false">
      <c r="A83" s="13" t="n">
        <v>79</v>
      </c>
      <c r="B83" s="13" t="s">
        <v>260</v>
      </c>
      <c r="C83" s="13" t="s">
        <v>278</v>
      </c>
      <c r="D83" s="13" t="s">
        <v>123</v>
      </c>
      <c r="E83" s="13" t="n">
        <v>24000</v>
      </c>
      <c r="F83" s="13" t="n">
        <v>0</v>
      </c>
      <c r="G83" s="13" t="n">
        <v>24000</v>
      </c>
      <c r="H83" s="13" t="s">
        <v>279</v>
      </c>
      <c r="I83" s="14" t="s">
        <v>280</v>
      </c>
      <c r="J83" s="13"/>
    </row>
    <row r="84" customFormat="false" ht="15" hidden="false" customHeight="false" outlineLevel="0" collapsed="false">
      <c r="A84" s="15" t="n">
        <v>80</v>
      </c>
      <c r="B84" s="15" t="s">
        <v>260</v>
      </c>
      <c r="C84" s="15" t="s">
        <v>281</v>
      </c>
      <c r="D84" s="15" t="s">
        <v>123</v>
      </c>
      <c r="E84" s="15" t="n">
        <v>24000</v>
      </c>
      <c r="F84" s="15" t="n">
        <v>0</v>
      </c>
      <c r="G84" s="15" t="n">
        <v>24000</v>
      </c>
      <c r="H84" s="15" t="s">
        <v>282</v>
      </c>
      <c r="I84" s="14" t="s">
        <v>283</v>
      </c>
      <c r="J84" s="15"/>
    </row>
    <row r="85" customFormat="false" ht="15" hidden="false" customHeight="false" outlineLevel="0" collapsed="false">
      <c r="A85" s="13" t="n">
        <v>81</v>
      </c>
      <c r="B85" s="13" t="s">
        <v>260</v>
      </c>
      <c r="C85" s="13" t="s">
        <v>284</v>
      </c>
      <c r="D85" s="13" t="s">
        <v>123</v>
      </c>
      <c r="E85" s="13" t="n">
        <v>24000</v>
      </c>
      <c r="F85" s="13" t="n">
        <v>0</v>
      </c>
      <c r="G85" s="13" t="n">
        <v>24000</v>
      </c>
      <c r="H85" s="13" t="s">
        <v>285</v>
      </c>
      <c r="I85" s="14" t="s">
        <v>286</v>
      </c>
      <c r="J85" s="13"/>
    </row>
    <row r="86" customFormat="false" ht="15" hidden="false" customHeight="false" outlineLevel="0" collapsed="false">
      <c r="A86" s="15" t="n">
        <v>82</v>
      </c>
      <c r="B86" s="15" t="s">
        <v>287</v>
      </c>
      <c r="C86" s="15" t="s">
        <v>261</v>
      </c>
      <c r="D86" s="15" t="s">
        <v>57</v>
      </c>
      <c r="E86" s="15" t="n">
        <v>155495</v>
      </c>
      <c r="F86" s="15" t="n">
        <v>0</v>
      </c>
      <c r="G86" s="15" t="n">
        <v>24000</v>
      </c>
      <c r="H86" s="15" t="s">
        <v>262</v>
      </c>
      <c r="I86" s="14" t="s">
        <v>288</v>
      </c>
      <c r="J86" s="15" t="s">
        <v>220</v>
      </c>
    </row>
    <row r="87" customFormat="false" ht="15" hidden="false" customHeight="false" outlineLevel="0" collapsed="false">
      <c r="A87" s="13" t="n">
        <v>83</v>
      </c>
      <c r="B87" s="13" t="s">
        <v>287</v>
      </c>
      <c r="C87" s="13" t="s">
        <v>289</v>
      </c>
      <c r="D87" s="13" t="s">
        <v>82</v>
      </c>
      <c r="E87" s="13" t="n">
        <v>155495</v>
      </c>
      <c r="F87" s="13" t="n">
        <v>0</v>
      </c>
      <c r="G87" s="13" t="n">
        <v>12</v>
      </c>
      <c r="H87" s="13" t="s">
        <v>290</v>
      </c>
      <c r="I87" s="14" t="s">
        <v>291</v>
      </c>
      <c r="J87" s="13"/>
    </row>
    <row r="88" customFormat="false" ht="15" hidden="false" customHeight="false" outlineLevel="0" collapsed="false">
      <c r="A88" s="15" t="n">
        <v>84</v>
      </c>
      <c r="B88" s="15" t="s">
        <v>287</v>
      </c>
      <c r="C88" s="15" t="s">
        <v>98</v>
      </c>
      <c r="D88" s="15" t="s">
        <v>57</v>
      </c>
      <c r="E88" s="15" t="n">
        <v>155495</v>
      </c>
      <c r="F88" s="15" t="n">
        <v>0</v>
      </c>
      <c r="G88" s="15" t="n">
        <v>30</v>
      </c>
      <c r="H88" s="15" t="s">
        <v>292</v>
      </c>
      <c r="I88" s="14" t="s">
        <v>242</v>
      </c>
      <c r="J88" s="15" t="s">
        <v>220</v>
      </c>
    </row>
    <row r="89" customFormat="false" ht="15" hidden="false" customHeight="false" outlineLevel="0" collapsed="false">
      <c r="A89" s="13" t="n">
        <v>85</v>
      </c>
      <c r="B89" s="13" t="s">
        <v>287</v>
      </c>
      <c r="C89" s="13" t="s">
        <v>293</v>
      </c>
      <c r="D89" s="13" t="s">
        <v>82</v>
      </c>
      <c r="E89" s="13" t="n">
        <v>155495</v>
      </c>
      <c r="F89" s="13" t="n">
        <v>0</v>
      </c>
      <c r="G89" s="13" t="n">
        <v>281</v>
      </c>
      <c r="H89" s="13" t="s">
        <v>294</v>
      </c>
      <c r="I89" s="14" t="s">
        <v>295</v>
      </c>
      <c r="J89" s="13"/>
    </row>
    <row r="90" customFormat="false" ht="15" hidden="false" customHeight="false" outlineLevel="0" collapsed="false">
      <c r="A90" s="15" t="n">
        <v>86</v>
      </c>
      <c r="B90" s="15" t="s">
        <v>287</v>
      </c>
      <c r="C90" s="15" t="s">
        <v>116</v>
      </c>
      <c r="D90" s="15" t="s">
        <v>123</v>
      </c>
      <c r="E90" s="15" t="n">
        <v>155495</v>
      </c>
      <c r="F90" s="15" t="n">
        <v>0</v>
      </c>
      <c r="G90" s="15" t="n">
        <v>142292</v>
      </c>
      <c r="H90" s="15" t="s">
        <v>296</v>
      </c>
      <c r="I90" s="14" t="s">
        <v>297</v>
      </c>
      <c r="J90" s="15"/>
    </row>
    <row r="91" customFormat="false" ht="15" hidden="false" customHeight="false" outlineLevel="0" collapsed="false">
      <c r="A91" s="13" t="n">
        <v>87</v>
      </c>
      <c r="B91" s="13" t="s">
        <v>287</v>
      </c>
      <c r="C91" s="13" t="s">
        <v>126</v>
      </c>
      <c r="D91" s="13" t="s">
        <v>82</v>
      </c>
      <c r="E91" s="13" t="n">
        <v>155495</v>
      </c>
      <c r="F91" s="13" t="n">
        <v>0</v>
      </c>
      <c r="G91" s="13" t="n">
        <v>2</v>
      </c>
      <c r="H91" s="13" t="s">
        <v>127</v>
      </c>
      <c r="I91" s="14" t="s">
        <v>298</v>
      </c>
      <c r="J91" s="13"/>
    </row>
    <row r="92" customFormat="false" ht="15" hidden="false" customHeight="false" outlineLevel="0" collapsed="false">
      <c r="A92" s="15" t="n">
        <v>88</v>
      </c>
      <c r="B92" s="15" t="s">
        <v>287</v>
      </c>
      <c r="C92" s="15" t="s">
        <v>299</v>
      </c>
      <c r="D92" s="15" t="s">
        <v>123</v>
      </c>
      <c r="E92" s="15" t="n">
        <v>155495</v>
      </c>
      <c r="F92" s="15" t="n">
        <v>0</v>
      </c>
      <c r="G92" s="15" t="n">
        <v>155224</v>
      </c>
      <c r="H92" s="15" t="s">
        <v>300</v>
      </c>
      <c r="I92" s="14" t="s">
        <v>301</v>
      </c>
      <c r="J92" s="15"/>
    </row>
    <row r="93" customFormat="false" ht="15" hidden="false" customHeight="false" outlineLevel="0" collapsed="false">
      <c r="A93" s="13" t="n">
        <v>89</v>
      </c>
      <c r="B93" s="13" t="s">
        <v>287</v>
      </c>
      <c r="C93" s="13" t="s">
        <v>302</v>
      </c>
      <c r="D93" s="13" t="s">
        <v>123</v>
      </c>
      <c r="E93" s="13" t="n">
        <v>155495</v>
      </c>
      <c r="F93" s="13" t="n">
        <v>0</v>
      </c>
      <c r="G93" s="13" t="n">
        <v>155254</v>
      </c>
      <c r="H93" s="13" t="s">
        <v>303</v>
      </c>
      <c r="I93" s="14" t="s">
        <v>304</v>
      </c>
      <c r="J93" s="13"/>
    </row>
    <row r="94" customFormat="false" ht="15" hidden="false" customHeight="false" outlineLevel="0" collapsed="false">
      <c r="A94" s="15" t="n">
        <v>90</v>
      </c>
      <c r="B94" s="15" t="s">
        <v>287</v>
      </c>
      <c r="C94" s="15" t="s">
        <v>305</v>
      </c>
      <c r="D94" s="15" t="s">
        <v>123</v>
      </c>
      <c r="E94" s="15" t="n">
        <v>155495</v>
      </c>
      <c r="F94" s="15" t="n">
        <v>0</v>
      </c>
      <c r="G94" s="15" t="n">
        <v>155269</v>
      </c>
      <c r="H94" s="15" t="s">
        <v>306</v>
      </c>
      <c r="I94" s="14" t="s">
        <v>307</v>
      </c>
      <c r="J94" s="15"/>
    </row>
    <row r="95" customFormat="false" ht="15" hidden="false" customHeight="false" outlineLevel="0" collapsed="false">
      <c r="A95" s="13" t="n">
        <v>91</v>
      </c>
      <c r="B95" s="13" t="s">
        <v>308</v>
      </c>
      <c r="C95" s="13" t="s">
        <v>309</v>
      </c>
      <c r="D95" s="13" t="s">
        <v>57</v>
      </c>
      <c r="E95" s="13" t="n">
        <v>20000</v>
      </c>
      <c r="F95" s="13" t="n">
        <v>0</v>
      </c>
      <c r="G95" s="13" t="n">
        <v>20000</v>
      </c>
      <c r="H95" s="13" t="s">
        <v>310</v>
      </c>
      <c r="I95" s="14" t="s">
        <v>263</v>
      </c>
      <c r="J95" s="13" t="s">
        <v>60</v>
      </c>
    </row>
    <row r="96" customFormat="false" ht="15" hidden="false" customHeight="false" outlineLevel="0" collapsed="false">
      <c r="A96" s="15" t="n">
        <v>92</v>
      </c>
      <c r="B96" s="15" t="s">
        <v>308</v>
      </c>
      <c r="C96" s="15" t="s">
        <v>203</v>
      </c>
      <c r="D96" s="15" t="s">
        <v>57</v>
      </c>
      <c r="E96" s="15" t="n">
        <v>20000</v>
      </c>
      <c r="F96" s="15" t="n">
        <v>0</v>
      </c>
      <c r="G96" s="15" t="n">
        <v>500</v>
      </c>
      <c r="H96" s="15" t="s">
        <v>311</v>
      </c>
      <c r="I96" s="14" t="s">
        <v>312</v>
      </c>
      <c r="J96" s="15" t="s">
        <v>220</v>
      </c>
    </row>
    <row r="97" customFormat="false" ht="15" hidden="false" customHeight="false" outlineLevel="0" collapsed="false">
      <c r="A97" s="13" t="n">
        <v>93</v>
      </c>
      <c r="B97" s="13" t="s">
        <v>308</v>
      </c>
      <c r="C97" s="13" t="s">
        <v>56</v>
      </c>
      <c r="D97" s="13" t="s">
        <v>57</v>
      </c>
      <c r="E97" s="13" t="n">
        <v>20000</v>
      </c>
      <c r="F97" s="13" t="n">
        <v>0</v>
      </c>
      <c r="G97" s="13" t="n">
        <v>6</v>
      </c>
      <c r="H97" s="13" t="s">
        <v>313</v>
      </c>
      <c r="I97" s="14" t="s">
        <v>314</v>
      </c>
      <c r="J97" s="13" t="s">
        <v>220</v>
      </c>
    </row>
    <row r="98" customFormat="false" ht="15" hidden="false" customHeight="false" outlineLevel="0" collapsed="false">
      <c r="A98" s="15" t="n">
        <v>94</v>
      </c>
      <c r="B98" s="15" t="s">
        <v>308</v>
      </c>
      <c r="C98" s="15" t="s">
        <v>267</v>
      </c>
      <c r="D98" s="15" t="s">
        <v>165</v>
      </c>
      <c r="E98" s="15" t="n">
        <v>20000</v>
      </c>
      <c r="F98" s="15" t="n">
        <v>0</v>
      </c>
      <c r="G98" s="15" t="n">
        <v>2192</v>
      </c>
      <c r="H98" s="15" t="s">
        <v>315</v>
      </c>
      <c r="I98" s="14" t="s">
        <v>316</v>
      </c>
      <c r="J98" s="15"/>
    </row>
    <row r="99" customFormat="false" ht="15" hidden="false" customHeight="false" outlineLevel="0" collapsed="false">
      <c r="A99" s="13" t="n">
        <v>95</v>
      </c>
      <c r="B99" s="13" t="s">
        <v>308</v>
      </c>
      <c r="C99" s="13" t="s">
        <v>317</v>
      </c>
      <c r="D99" s="13" t="s">
        <v>165</v>
      </c>
      <c r="E99" s="13" t="n">
        <v>20000</v>
      </c>
      <c r="F99" s="13" t="n">
        <v>0</v>
      </c>
      <c r="G99" s="13" t="n">
        <v>2204</v>
      </c>
      <c r="H99" s="13" t="s">
        <v>318</v>
      </c>
      <c r="I99" s="14" t="s">
        <v>319</v>
      </c>
      <c r="J99" s="13"/>
    </row>
    <row r="100" customFormat="false" ht="15" hidden="false" customHeight="false" outlineLevel="0" collapsed="false">
      <c r="A100" s="15" t="n">
        <v>96</v>
      </c>
      <c r="B100" s="15" t="s">
        <v>308</v>
      </c>
      <c r="C100" s="15" t="s">
        <v>320</v>
      </c>
      <c r="D100" s="15" t="s">
        <v>57</v>
      </c>
      <c r="E100" s="15" t="n">
        <v>20000</v>
      </c>
      <c r="F100" s="15" t="n">
        <v>0</v>
      </c>
      <c r="G100" s="15" t="n">
        <v>2</v>
      </c>
      <c r="H100" s="15" t="s">
        <v>321</v>
      </c>
      <c r="I100" s="14" t="s">
        <v>322</v>
      </c>
      <c r="J100" s="15"/>
    </row>
    <row r="101" customFormat="false" ht="15" hidden="false" customHeight="false" outlineLevel="0" collapsed="false">
      <c r="A101" s="13" t="n">
        <v>97</v>
      </c>
      <c r="B101" s="13" t="s">
        <v>308</v>
      </c>
      <c r="C101" s="13" t="s">
        <v>227</v>
      </c>
      <c r="D101" s="13" t="s">
        <v>57</v>
      </c>
      <c r="E101" s="13" t="n">
        <v>20000</v>
      </c>
      <c r="F101" s="13" t="n">
        <v>0</v>
      </c>
      <c r="G101" s="13" t="n">
        <v>5</v>
      </c>
      <c r="H101" s="13" t="s">
        <v>323</v>
      </c>
      <c r="I101" s="14" t="s">
        <v>229</v>
      </c>
      <c r="J101" s="13"/>
    </row>
    <row r="102" customFormat="false" ht="15" hidden="false" customHeight="false" outlineLevel="0" collapsed="false">
      <c r="A102" s="15" t="n">
        <v>98</v>
      </c>
      <c r="B102" s="15" t="s">
        <v>308</v>
      </c>
      <c r="C102" s="15" t="s">
        <v>324</v>
      </c>
      <c r="D102" s="15" t="s">
        <v>82</v>
      </c>
      <c r="E102" s="15" t="n">
        <v>20000</v>
      </c>
      <c r="F102" s="15" t="n">
        <v>0</v>
      </c>
      <c r="G102" s="15" t="n">
        <v>17905</v>
      </c>
      <c r="H102" s="15" t="s">
        <v>325</v>
      </c>
      <c r="I102" s="14" t="s">
        <v>326</v>
      </c>
      <c r="J102" s="15"/>
    </row>
    <row r="103" customFormat="false" ht="15" hidden="false" customHeight="false" outlineLevel="0" collapsed="false">
      <c r="A103" s="13" t="n">
        <v>99</v>
      </c>
      <c r="B103" s="13" t="s">
        <v>308</v>
      </c>
      <c r="C103" s="13" t="s">
        <v>281</v>
      </c>
      <c r="D103" s="13" t="s">
        <v>123</v>
      </c>
      <c r="E103" s="13" t="n">
        <v>20000</v>
      </c>
      <c r="F103" s="13" t="n">
        <v>0</v>
      </c>
      <c r="G103" s="13" t="n">
        <v>18749</v>
      </c>
      <c r="H103" s="13" t="s">
        <v>327</v>
      </c>
      <c r="I103" s="14" t="s">
        <v>283</v>
      </c>
      <c r="J103" s="13"/>
    </row>
    <row r="104" customFormat="false" ht="15" hidden="false" customHeight="false" outlineLevel="0" collapsed="false">
      <c r="A104" s="15" t="n">
        <v>100</v>
      </c>
      <c r="B104" s="15" t="s">
        <v>308</v>
      </c>
      <c r="C104" s="15" t="s">
        <v>284</v>
      </c>
      <c r="D104" s="15" t="s">
        <v>123</v>
      </c>
      <c r="E104" s="15" t="n">
        <v>20000</v>
      </c>
      <c r="F104" s="15" t="n">
        <v>0</v>
      </c>
      <c r="G104" s="15" t="n">
        <v>18735</v>
      </c>
      <c r="H104" s="15" t="s">
        <v>328</v>
      </c>
      <c r="I104" s="14" t="s">
        <v>286</v>
      </c>
      <c r="J104" s="15"/>
    </row>
    <row r="105" customFormat="false" ht="15" hidden="false" customHeight="false" outlineLevel="0" collapsed="false">
      <c r="A105" s="13" t="n">
        <v>101</v>
      </c>
      <c r="B105" s="13" t="s">
        <v>308</v>
      </c>
      <c r="C105" s="13" t="s">
        <v>329</v>
      </c>
      <c r="D105" s="13" t="s">
        <v>57</v>
      </c>
      <c r="E105" s="13" t="n">
        <v>20000</v>
      </c>
      <c r="F105" s="13" t="n">
        <v>0</v>
      </c>
      <c r="G105" s="13" t="n">
        <v>4</v>
      </c>
      <c r="H105" s="13" t="s">
        <v>330</v>
      </c>
      <c r="I105" s="14" t="s">
        <v>331</v>
      </c>
      <c r="J105" s="13"/>
    </row>
    <row r="106" customFormat="false" ht="15" hidden="false" customHeight="false" outlineLevel="0" collapsed="false">
      <c r="A106" s="15" t="n">
        <v>102</v>
      </c>
      <c r="B106" s="15" t="s">
        <v>332</v>
      </c>
      <c r="C106" s="15" t="s">
        <v>309</v>
      </c>
      <c r="D106" s="15" t="s">
        <v>57</v>
      </c>
      <c r="E106" s="15" t="n">
        <v>130402</v>
      </c>
      <c r="F106" s="15" t="n">
        <v>0</v>
      </c>
      <c r="G106" s="15" t="n">
        <v>20000</v>
      </c>
      <c r="H106" s="15" t="s">
        <v>310</v>
      </c>
      <c r="I106" s="14" t="s">
        <v>333</v>
      </c>
      <c r="J106" s="15" t="s">
        <v>220</v>
      </c>
    </row>
    <row r="107" customFormat="false" ht="15" hidden="false" customHeight="false" outlineLevel="0" collapsed="false">
      <c r="A107" s="13" t="n">
        <v>103</v>
      </c>
      <c r="B107" s="13" t="s">
        <v>332</v>
      </c>
      <c r="C107" s="13" t="s">
        <v>289</v>
      </c>
      <c r="D107" s="13" t="s">
        <v>82</v>
      </c>
      <c r="E107" s="13" t="n">
        <v>130402</v>
      </c>
      <c r="F107" s="13" t="n">
        <v>0</v>
      </c>
      <c r="G107" s="13" t="n">
        <v>12</v>
      </c>
      <c r="H107" s="13" t="s">
        <v>290</v>
      </c>
      <c r="I107" s="14" t="s">
        <v>334</v>
      </c>
      <c r="J107" s="13"/>
    </row>
    <row r="108" customFormat="false" ht="15" hidden="false" customHeight="false" outlineLevel="0" collapsed="false">
      <c r="A108" s="15" t="n">
        <v>104</v>
      </c>
      <c r="B108" s="15" t="s">
        <v>332</v>
      </c>
      <c r="C108" s="15" t="s">
        <v>98</v>
      </c>
      <c r="D108" s="15" t="s">
        <v>57</v>
      </c>
      <c r="E108" s="15" t="n">
        <v>130402</v>
      </c>
      <c r="F108" s="15" t="n">
        <v>0</v>
      </c>
      <c r="G108" s="15" t="n">
        <v>30</v>
      </c>
      <c r="H108" s="15" t="s">
        <v>335</v>
      </c>
      <c r="I108" s="14" t="s">
        <v>242</v>
      </c>
      <c r="J108" s="15" t="s">
        <v>220</v>
      </c>
    </row>
    <row r="109" customFormat="false" ht="15" hidden="false" customHeight="false" outlineLevel="0" collapsed="false">
      <c r="A109" s="13" t="n">
        <v>105</v>
      </c>
      <c r="B109" s="13" t="s">
        <v>332</v>
      </c>
      <c r="C109" s="13" t="s">
        <v>293</v>
      </c>
      <c r="D109" s="13" t="s">
        <v>82</v>
      </c>
      <c r="E109" s="13" t="n">
        <v>130402</v>
      </c>
      <c r="F109" s="13" t="n">
        <v>0</v>
      </c>
      <c r="G109" s="13" t="n">
        <v>20</v>
      </c>
      <c r="H109" s="13" t="s">
        <v>191</v>
      </c>
      <c r="I109" s="14" t="s">
        <v>336</v>
      </c>
      <c r="J109" s="13"/>
    </row>
    <row r="110" customFormat="false" ht="15" hidden="false" customHeight="false" outlineLevel="0" collapsed="false">
      <c r="A110" s="15" t="n">
        <v>106</v>
      </c>
      <c r="B110" s="15" t="s">
        <v>332</v>
      </c>
      <c r="C110" s="15" t="s">
        <v>119</v>
      </c>
      <c r="D110" s="15" t="s">
        <v>82</v>
      </c>
      <c r="E110" s="15" t="n">
        <v>130402</v>
      </c>
      <c r="F110" s="15" t="n">
        <v>0</v>
      </c>
      <c r="G110" s="15" t="n">
        <v>28</v>
      </c>
      <c r="H110" s="15" t="s">
        <v>337</v>
      </c>
      <c r="I110" s="14" t="s">
        <v>338</v>
      </c>
      <c r="J110" s="15"/>
    </row>
    <row r="111" customFormat="false" ht="15" hidden="false" customHeight="false" outlineLevel="0" collapsed="false">
      <c r="A111" s="13" t="n">
        <v>107</v>
      </c>
      <c r="B111" s="13" t="s">
        <v>332</v>
      </c>
      <c r="C111" s="13" t="s">
        <v>126</v>
      </c>
      <c r="D111" s="13" t="s">
        <v>82</v>
      </c>
      <c r="E111" s="13" t="n">
        <v>130402</v>
      </c>
      <c r="F111" s="13" t="n">
        <v>0</v>
      </c>
      <c r="G111" s="13" t="n">
        <v>2</v>
      </c>
      <c r="H111" s="13" t="s">
        <v>127</v>
      </c>
      <c r="I111" s="14" t="s">
        <v>298</v>
      </c>
      <c r="J111" s="13"/>
    </row>
    <row r="112" customFormat="false" ht="15" hidden="false" customHeight="false" outlineLevel="0" collapsed="false">
      <c r="A112" s="15" t="n">
        <v>108</v>
      </c>
      <c r="B112" s="15" t="s">
        <v>332</v>
      </c>
      <c r="C112" s="15" t="s">
        <v>299</v>
      </c>
      <c r="D112" s="15" t="s">
        <v>82</v>
      </c>
      <c r="E112" s="15" t="n">
        <v>130402</v>
      </c>
      <c r="F112" s="15" t="n">
        <v>0</v>
      </c>
      <c r="G112" s="15" t="n">
        <v>534</v>
      </c>
      <c r="H112" s="15" t="s">
        <v>339</v>
      </c>
      <c r="I112" s="14" t="s">
        <v>340</v>
      </c>
      <c r="J112" s="15"/>
    </row>
    <row r="113" customFormat="false" ht="15" hidden="false" customHeight="false" outlineLevel="0" collapsed="false">
      <c r="A113" s="13" t="n">
        <v>109</v>
      </c>
      <c r="B113" s="13" t="s">
        <v>332</v>
      </c>
      <c r="C113" s="13" t="s">
        <v>302</v>
      </c>
      <c r="D113" s="13" t="s">
        <v>123</v>
      </c>
      <c r="E113" s="13" t="n">
        <v>130402</v>
      </c>
      <c r="F113" s="13" t="n">
        <v>0</v>
      </c>
      <c r="G113" s="13" t="n">
        <v>534</v>
      </c>
      <c r="H113" s="13" t="s">
        <v>341</v>
      </c>
      <c r="I113" s="14" t="s">
        <v>283</v>
      </c>
      <c r="J113" s="13"/>
    </row>
    <row r="114" customFormat="false" ht="15" hidden="false" customHeight="false" outlineLevel="0" collapsed="false">
      <c r="A114" s="15" t="n">
        <v>110</v>
      </c>
      <c r="B114" s="15" t="s">
        <v>332</v>
      </c>
      <c r="C114" s="15" t="s">
        <v>305</v>
      </c>
      <c r="D114" s="15" t="s">
        <v>123</v>
      </c>
      <c r="E114" s="15" t="n">
        <v>130402</v>
      </c>
      <c r="F114" s="15" t="n">
        <v>0</v>
      </c>
      <c r="G114" s="15" t="n">
        <v>534</v>
      </c>
      <c r="H114" s="15" t="s">
        <v>342</v>
      </c>
      <c r="I114" s="14" t="s">
        <v>286</v>
      </c>
      <c r="J114" s="15"/>
    </row>
    <row r="115" customFormat="false" ht="15" hidden="false" customHeight="false" outlineLevel="0" collapsed="false">
      <c r="A115" s="13" t="n">
        <v>111</v>
      </c>
      <c r="B115" s="13" t="s">
        <v>343</v>
      </c>
      <c r="C115" s="13" t="s">
        <v>344</v>
      </c>
      <c r="D115" s="13" t="s">
        <v>57</v>
      </c>
      <c r="E115" s="13" t="n">
        <v>18033</v>
      </c>
      <c r="F115" s="13" t="n">
        <v>0</v>
      </c>
      <c r="G115" s="13" t="n">
        <v>17836</v>
      </c>
      <c r="H115" s="13" t="s">
        <v>345</v>
      </c>
      <c r="I115" s="14" t="s">
        <v>263</v>
      </c>
      <c r="J115" s="13" t="s">
        <v>60</v>
      </c>
    </row>
    <row r="116" customFormat="false" ht="15" hidden="false" customHeight="false" outlineLevel="0" collapsed="false">
      <c r="A116" s="15" t="n">
        <v>112</v>
      </c>
      <c r="B116" s="15" t="s">
        <v>343</v>
      </c>
      <c r="C116" s="15" t="s">
        <v>309</v>
      </c>
      <c r="D116" s="15" t="s">
        <v>57</v>
      </c>
      <c r="E116" s="15" t="n">
        <v>18033</v>
      </c>
      <c r="F116" s="15" t="n">
        <v>0</v>
      </c>
      <c r="G116" s="15" t="n">
        <v>18033</v>
      </c>
      <c r="H116" s="15" t="s">
        <v>310</v>
      </c>
      <c r="I116" s="14" t="s">
        <v>333</v>
      </c>
      <c r="J116" s="15" t="s">
        <v>220</v>
      </c>
    </row>
    <row r="117" customFormat="false" ht="15" hidden="false" customHeight="false" outlineLevel="0" collapsed="false">
      <c r="A117" s="13" t="n">
        <v>113</v>
      </c>
      <c r="B117" s="13" t="s">
        <v>343</v>
      </c>
      <c r="C117" s="13" t="s">
        <v>203</v>
      </c>
      <c r="D117" s="13" t="s">
        <v>57</v>
      </c>
      <c r="E117" s="13" t="n">
        <v>18033</v>
      </c>
      <c r="F117" s="13" t="n">
        <v>0</v>
      </c>
      <c r="G117" s="13" t="n">
        <v>500</v>
      </c>
      <c r="H117" s="13" t="s">
        <v>311</v>
      </c>
      <c r="I117" s="14" t="s">
        <v>312</v>
      </c>
      <c r="J117" s="13" t="s">
        <v>220</v>
      </c>
    </row>
    <row r="118" customFormat="false" ht="15" hidden="false" customHeight="false" outlineLevel="0" collapsed="false">
      <c r="A118" s="15" t="n">
        <v>114</v>
      </c>
      <c r="B118" s="15" t="s">
        <v>343</v>
      </c>
      <c r="C118" s="15" t="s">
        <v>56</v>
      </c>
      <c r="D118" s="15" t="s">
        <v>57</v>
      </c>
      <c r="E118" s="15" t="n">
        <v>18033</v>
      </c>
      <c r="F118" s="15" t="n">
        <v>0</v>
      </c>
      <c r="G118" s="15" t="n">
        <v>6</v>
      </c>
      <c r="H118" s="15" t="s">
        <v>313</v>
      </c>
      <c r="I118" s="14" t="s">
        <v>243</v>
      </c>
      <c r="J118" s="15" t="s">
        <v>220</v>
      </c>
    </row>
    <row r="119" customFormat="false" ht="15" hidden="false" customHeight="false" outlineLevel="0" collapsed="false">
      <c r="A119" s="13" t="n">
        <v>115</v>
      </c>
      <c r="B119" s="13" t="s">
        <v>343</v>
      </c>
      <c r="C119" s="13" t="s">
        <v>346</v>
      </c>
      <c r="D119" s="13" t="s">
        <v>165</v>
      </c>
      <c r="E119" s="13" t="n">
        <v>18033</v>
      </c>
      <c r="F119" s="13" t="n">
        <v>0</v>
      </c>
      <c r="G119" s="13" t="n">
        <v>2203</v>
      </c>
      <c r="H119" s="13" t="s">
        <v>318</v>
      </c>
      <c r="I119" s="14" t="s">
        <v>347</v>
      </c>
      <c r="J119" s="13"/>
    </row>
    <row r="120" customFormat="false" ht="15" hidden="false" customHeight="false" outlineLevel="0" collapsed="false">
      <c r="A120" s="15" t="n">
        <v>116</v>
      </c>
      <c r="B120" s="15" t="s">
        <v>343</v>
      </c>
      <c r="C120" s="15" t="s">
        <v>348</v>
      </c>
      <c r="D120" s="15" t="s">
        <v>165</v>
      </c>
      <c r="E120" s="15" t="n">
        <v>18033</v>
      </c>
      <c r="F120" s="15" t="n">
        <v>0</v>
      </c>
      <c r="G120" s="15" t="n">
        <v>2235</v>
      </c>
      <c r="H120" s="15" t="s">
        <v>349</v>
      </c>
      <c r="I120" s="14" t="s">
        <v>350</v>
      </c>
      <c r="J120" s="15"/>
    </row>
    <row r="121" customFormat="false" ht="15" hidden="false" customHeight="false" outlineLevel="0" collapsed="false">
      <c r="A121" s="13" t="n">
        <v>117</v>
      </c>
      <c r="B121" s="13" t="s">
        <v>343</v>
      </c>
      <c r="C121" s="13" t="s">
        <v>324</v>
      </c>
      <c r="D121" s="13" t="s">
        <v>82</v>
      </c>
      <c r="E121" s="13" t="n">
        <v>18033</v>
      </c>
      <c r="F121" s="13" t="n">
        <v>0</v>
      </c>
      <c r="G121" s="13" t="n">
        <v>16248</v>
      </c>
      <c r="H121" s="13" t="s">
        <v>325</v>
      </c>
      <c r="I121" s="14" t="s">
        <v>326</v>
      </c>
      <c r="J121" s="13"/>
    </row>
    <row r="122" customFormat="false" ht="15" hidden="false" customHeight="false" outlineLevel="0" collapsed="false">
      <c r="A122" s="15" t="n">
        <v>118</v>
      </c>
      <c r="B122" s="15" t="s">
        <v>343</v>
      </c>
      <c r="C122" s="15" t="s">
        <v>281</v>
      </c>
      <c r="D122" s="15" t="s">
        <v>123</v>
      </c>
      <c r="E122" s="15" t="n">
        <v>18033</v>
      </c>
      <c r="F122" s="15" t="n">
        <v>0</v>
      </c>
      <c r="G122" s="15" t="n">
        <v>16951</v>
      </c>
      <c r="H122" s="15" t="s">
        <v>327</v>
      </c>
      <c r="I122" s="14" t="s">
        <v>283</v>
      </c>
      <c r="J122" s="15"/>
    </row>
    <row r="123" customFormat="false" ht="15" hidden="false" customHeight="false" outlineLevel="0" collapsed="false">
      <c r="A123" s="13" t="n">
        <v>119</v>
      </c>
      <c r="B123" s="13" t="s">
        <v>343</v>
      </c>
      <c r="C123" s="13" t="s">
        <v>284</v>
      </c>
      <c r="D123" s="13" t="s">
        <v>123</v>
      </c>
      <c r="E123" s="13" t="n">
        <v>18033</v>
      </c>
      <c r="F123" s="13" t="n">
        <v>0</v>
      </c>
      <c r="G123" s="13" t="n">
        <v>16938</v>
      </c>
      <c r="H123" s="13" t="s">
        <v>328</v>
      </c>
      <c r="I123" s="14" t="s">
        <v>286</v>
      </c>
      <c r="J123" s="13"/>
    </row>
    <row r="124" customFormat="false" ht="15" hidden="false" customHeight="false" outlineLevel="0" collapsed="false">
      <c r="A124" s="15" t="n">
        <v>120</v>
      </c>
      <c r="B124" s="15" t="s">
        <v>343</v>
      </c>
      <c r="C124" s="15" t="s">
        <v>351</v>
      </c>
      <c r="D124" s="15" t="s">
        <v>57</v>
      </c>
      <c r="E124" s="15" t="n">
        <v>18033</v>
      </c>
      <c r="F124" s="15" t="n">
        <v>0</v>
      </c>
      <c r="G124" s="15" t="n">
        <v>3</v>
      </c>
      <c r="H124" s="15" t="s">
        <v>352</v>
      </c>
      <c r="I124" s="14" t="s">
        <v>353</v>
      </c>
      <c r="J124" s="15"/>
    </row>
    <row r="125" customFormat="false" ht="15" hidden="false" customHeight="false" outlineLevel="0" collapsed="false">
      <c r="A125" s="13" t="n">
        <v>121</v>
      </c>
      <c r="B125" s="13" t="s">
        <v>354</v>
      </c>
      <c r="C125" s="13" t="s">
        <v>355</v>
      </c>
      <c r="D125" s="13" t="s">
        <v>57</v>
      </c>
      <c r="E125" s="13" t="n">
        <v>19257</v>
      </c>
      <c r="F125" s="13" t="n">
        <v>0</v>
      </c>
      <c r="G125" s="13" t="n">
        <v>19055</v>
      </c>
      <c r="H125" s="13" t="s">
        <v>356</v>
      </c>
      <c r="I125" s="14" t="s">
        <v>263</v>
      </c>
      <c r="J125" s="13" t="s">
        <v>60</v>
      </c>
    </row>
    <row r="126" customFormat="false" ht="15" hidden="false" customHeight="false" outlineLevel="0" collapsed="false">
      <c r="A126" s="15" t="n">
        <v>122</v>
      </c>
      <c r="B126" s="15" t="s">
        <v>354</v>
      </c>
      <c r="C126" s="15" t="s">
        <v>344</v>
      </c>
      <c r="D126" s="15" t="s">
        <v>57</v>
      </c>
      <c r="E126" s="15" t="n">
        <v>19257</v>
      </c>
      <c r="F126" s="15" t="n">
        <v>0</v>
      </c>
      <c r="G126" s="15" t="n">
        <v>16036</v>
      </c>
      <c r="H126" s="15" t="s">
        <v>357</v>
      </c>
      <c r="I126" s="14" t="s">
        <v>358</v>
      </c>
      <c r="J126" s="15" t="s">
        <v>220</v>
      </c>
    </row>
    <row r="127" customFormat="false" ht="15" hidden="false" customHeight="false" outlineLevel="0" collapsed="false">
      <c r="A127" s="13" t="n">
        <v>123</v>
      </c>
      <c r="B127" s="13" t="s">
        <v>354</v>
      </c>
      <c r="C127" s="13" t="s">
        <v>359</v>
      </c>
      <c r="D127" s="13" t="s">
        <v>165</v>
      </c>
      <c r="E127" s="13" t="n">
        <v>19257</v>
      </c>
      <c r="F127" s="13" t="n">
        <v>0</v>
      </c>
      <c r="G127" s="13" t="n">
        <v>2243</v>
      </c>
      <c r="H127" s="13" t="s">
        <v>360</v>
      </c>
      <c r="I127" s="14" t="s">
        <v>361</v>
      </c>
      <c r="J127" s="13"/>
    </row>
    <row r="128" customFormat="false" ht="15" hidden="false" customHeight="false" outlineLevel="0" collapsed="false">
      <c r="A128" s="15" t="n">
        <v>124</v>
      </c>
      <c r="B128" s="15" t="s">
        <v>354</v>
      </c>
      <c r="C128" s="15" t="s">
        <v>362</v>
      </c>
      <c r="D128" s="15" t="s">
        <v>123</v>
      </c>
      <c r="E128" s="15" t="n">
        <v>19257</v>
      </c>
      <c r="F128" s="15" t="n">
        <v>0</v>
      </c>
      <c r="G128" s="15" t="n">
        <v>18778</v>
      </c>
      <c r="H128" s="15" t="s">
        <v>363</v>
      </c>
      <c r="I128" s="14" t="s">
        <v>364</v>
      </c>
      <c r="J128" s="15"/>
    </row>
    <row r="129" customFormat="false" ht="15" hidden="false" customHeight="false" outlineLevel="0" collapsed="false">
      <c r="A129" s="13" t="n">
        <v>125</v>
      </c>
      <c r="B129" s="13" t="s">
        <v>354</v>
      </c>
      <c r="C129" s="13" t="s">
        <v>365</v>
      </c>
      <c r="D129" s="13" t="s">
        <v>57</v>
      </c>
      <c r="E129" s="13" t="n">
        <v>19257</v>
      </c>
      <c r="F129" s="13" t="n">
        <v>0</v>
      </c>
      <c r="G129" s="13" t="n">
        <v>5</v>
      </c>
      <c r="H129" s="13" t="s">
        <v>366</v>
      </c>
      <c r="I129" s="14" t="s">
        <v>367</v>
      </c>
      <c r="J129" s="13"/>
    </row>
    <row r="130" customFormat="false" ht="15" hidden="false" customHeight="false" outlineLevel="0" collapsed="false">
      <c r="A130" s="15" t="n">
        <v>126</v>
      </c>
      <c r="B130" s="15" t="s">
        <v>368</v>
      </c>
      <c r="C130" s="15" t="s">
        <v>369</v>
      </c>
      <c r="D130" s="15" t="s">
        <v>57</v>
      </c>
      <c r="E130" s="15" t="n">
        <v>237230</v>
      </c>
      <c r="F130" s="15" t="n">
        <v>0</v>
      </c>
      <c r="G130" s="15" t="n">
        <v>237230</v>
      </c>
      <c r="H130" s="15" t="s">
        <v>370</v>
      </c>
      <c r="I130" s="14" t="s">
        <v>263</v>
      </c>
      <c r="J130" s="15" t="s">
        <v>60</v>
      </c>
    </row>
    <row r="131" customFormat="false" ht="15" hidden="false" customHeight="false" outlineLevel="0" collapsed="false">
      <c r="A131" s="13" t="n">
        <v>127</v>
      </c>
      <c r="B131" s="13" t="s">
        <v>368</v>
      </c>
      <c r="C131" s="13" t="s">
        <v>98</v>
      </c>
      <c r="D131" s="13" t="s">
        <v>57</v>
      </c>
      <c r="E131" s="13" t="n">
        <v>237230</v>
      </c>
      <c r="F131" s="13" t="n">
        <v>0</v>
      </c>
      <c r="G131" s="13" t="n">
        <v>30</v>
      </c>
      <c r="H131" s="13" t="s">
        <v>99</v>
      </c>
      <c r="I131" s="14" t="s">
        <v>242</v>
      </c>
      <c r="J131" s="13" t="s">
        <v>220</v>
      </c>
    </row>
    <row r="132" customFormat="false" ht="15" hidden="false" customHeight="false" outlineLevel="0" collapsed="false">
      <c r="A132" s="15" t="n">
        <v>128</v>
      </c>
      <c r="B132" s="15" t="s">
        <v>368</v>
      </c>
      <c r="C132" s="15" t="s">
        <v>56</v>
      </c>
      <c r="D132" s="15" t="s">
        <v>57</v>
      </c>
      <c r="E132" s="15" t="n">
        <v>237230</v>
      </c>
      <c r="F132" s="15" t="n">
        <v>0</v>
      </c>
      <c r="G132" s="15" t="n">
        <v>6</v>
      </c>
      <c r="H132" s="15" t="s">
        <v>313</v>
      </c>
      <c r="I132" s="14" t="s">
        <v>243</v>
      </c>
      <c r="J132" s="15" t="s">
        <v>220</v>
      </c>
    </row>
    <row r="133" customFormat="false" ht="15" hidden="false" customHeight="false" outlineLevel="0" collapsed="false">
      <c r="A133" s="13" t="n">
        <v>129</v>
      </c>
      <c r="B133" s="13" t="s">
        <v>368</v>
      </c>
      <c r="C133" s="13" t="s">
        <v>371</v>
      </c>
      <c r="D133" s="13" t="s">
        <v>57</v>
      </c>
      <c r="E133" s="13" t="n">
        <v>237230</v>
      </c>
      <c r="F133" s="13" t="n">
        <v>0</v>
      </c>
      <c r="G133" s="13" t="n">
        <v>3</v>
      </c>
      <c r="H133" s="13" t="s">
        <v>372</v>
      </c>
      <c r="I133" s="14" t="s">
        <v>373</v>
      </c>
      <c r="J133" s="13"/>
    </row>
    <row r="134" customFormat="false" ht="15" hidden="false" customHeight="false" outlineLevel="0" collapsed="false">
      <c r="A134" s="15" t="n">
        <v>130</v>
      </c>
      <c r="B134" s="15" t="s">
        <v>368</v>
      </c>
      <c r="C134" s="15" t="s">
        <v>374</v>
      </c>
      <c r="D134" s="15" t="s">
        <v>165</v>
      </c>
      <c r="E134" s="15" t="n">
        <v>237230</v>
      </c>
      <c r="F134" s="15" t="n">
        <v>0</v>
      </c>
      <c r="G134" s="15" t="n">
        <v>2218</v>
      </c>
      <c r="H134" s="15" t="s">
        <v>375</v>
      </c>
      <c r="I134" s="14" t="s">
        <v>376</v>
      </c>
      <c r="J134" s="15"/>
    </row>
    <row r="135" customFormat="false" ht="15" hidden="false" customHeight="false" outlineLevel="0" collapsed="false">
      <c r="A135" s="13" t="n">
        <v>131</v>
      </c>
      <c r="B135" s="13" t="s">
        <v>368</v>
      </c>
      <c r="C135" s="13" t="s">
        <v>293</v>
      </c>
      <c r="D135" s="13" t="s">
        <v>82</v>
      </c>
      <c r="E135" s="13" t="n">
        <v>237230</v>
      </c>
      <c r="F135" s="13" t="n">
        <v>0</v>
      </c>
      <c r="G135" s="13" t="n">
        <v>300</v>
      </c>
      <c r="H135" s="13" t="s">
        <v>197</v>
      </c>
      <c r="I135" s="14" t="s">
        <v>377</v>
      </c>
      <c r="J135" s="13"/>
    </row>
    <row r="136" customFormat="false" ht="15" hidden="false" customHeight="false" outlineLevel="0" collapsed="false">
      <c r="A136" s="15" t="n">
        <v>132</v>
      </c>
      <c r="B136" s="15" t="s">
        <v>368</v>
      </c>
      <c r="C136" s="15" t="s">
        <v>378</v>
      </c>
      <c r="D136" s="15" t="s">
        <v>57</v>
      </c>
      <c r="E136" s="15" t="n">
        <v>237230</v>
      </c>
      <c r="F136" s="15" t="n">
        <v>0</v>
      </c>
      <c r="G136" s="15" t="n">
        <v>3</v>
      </c>
      <c r="H136" s="15" t="s">
        <v>379</v>
      </c>
      <c r="I136" s="14" t="s">
        <v>380</v>
      </c>
      <c r="J136" s="15"/>
    </row>
    <row r="137" customFormat="false" ht="15" hidden="false" customHeight="false" outlineLevel="0" collapsed="false">
      <c r="A137" s="13" t="n">
        <v>133</v>
      </c>
      <c r="B137" s="13" t="s">
        <v>368</v>
      </c>
      <c r="C137" s="13" t="s">
        <v>381</v>
      </c>
      <c r="D137" s="13" t="s">
        <v>57</v>
      </c>
      <c r="E137" s="13" t="n">
        <v>237230</v>
      </c>
      <c r="F137" s="13" t="n">
        <v>0</v>
      </c>
      <c r="G137" s="13" t="n">
        <v>43709</v>
      </c>
      <c r="H137" s="13" t="s">
        <v>382</v>
      </c>
      <c r="I137" s="14" t="s">
        <v>383</v>
      </c>
      <c r="J137" s="13" t="s">
        <v>220</v>
      </c>
    </row>
    <row r="138" customFormat="false" ht="15" hidden="false" customHeight="false" outlineLevel="0" collapsed="false">
      <c r="A138" s="15" t="n">
        <v>134</v>
      </c>
      <c r="B138" s="15" t="s">
        <v>368</v>
      </c>
      <c r="C138" s="15" t="s">
        <v>384</v>
      </c>
      <c r="D138" s="15" t="s">
        <v>82</v>
      </c>
      <c r="E138" s="15" t="n">
        <v>237230</v>
      </c>
      <c r="F138" s="15" t="n">
        <v>0</v>
      </c>
      <c r="G138" s="15" t="n">
        <v>98171</v>
      </c>
      <c r="H138" s="15" t="s">
        <v>385</v>
      </c>
      <c r="I138" s="14" t="s">
        <v>386</v>
      </c>
      <c r="J138" s="15"/>
    </row>
  </sheetData>
  <autoFilter ref="A4:J138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8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6" min="5" style="0" width="9"/>
    <col collapsed="false" customWidth="true" hidden="false" outlineLevel="0" max="7" min="7" style="0" width="60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19.7" hidden="false" customHeight="false" outlineLevel="0" collapsed="false">
      <c r="A1" s="10" t="s">
        <v>387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11" t="s">
        <v>388</v>
      </c>
      <c r="B2" s="11"/>
      <c r="C2" s="11"/>
      <c r="D2" s="11"/>
      <c r="E2" s="11"/>
      <c r="F2" s="11"/>
      <c r="G2" s="11"/>
      <c r="H2" s="11"/>
      <c r="I2" s="11"/>
    </row>
    <row r="3" customFormat="false" ht="3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</row>
    <row r="4" customFormat="false" ht="30" hidden="false" customHeight="true" outlineLevel="0" collapsed="false">
      <c r="A4" s="12" t="s">
        <v>46</v>
      </c>
      <c r="B4" s="12" t="s">
        <v>389</v>
      </c>
      <c r="C4" s="12" t="s">
        <v>390</v>
      </c>
      <c r="D4" s="12" t="s">
        <v>391</v>
      </c>
      <c r="E4" s="12" t="s">
        <v>50</v>
      </c>
      <c r="F4" s="12" t="s">
        <v>392</v>
      </c>
      <c r="G4" s="12" t="s">
        <v>393</v>
      </c>
      <c r="H4" s="12" t="s">
        <v>394</v>
      </c>
      <c r="I4" s="12" t="s">
        <v>395</v>
      </c>
    </row>
    <row r="5" customFormat="false" ht="15" hidden="false" customHeight="false" outlineLevel="0" collapsed="false">
      <c r="A5" s="13" t="s">
        <v>55</v>
      </c>
      <c r="B5" s="13" t="s">
        <v>396</v>
      </c>
      <c r="C5" s="16" t="n">
        <v>6</v>
      </c>
      <c r="D5" s="13" t="n">
        <v>13</v>
      </c>
      <c r="E5" s="16" t="n">
        <v>0</v>
      </c>
      <c r="F5" s="13" t="n">
        <v>0</v>
      </c>
      <c r="G5" s="13"/>
      <c r="H5" s="13" t="n">
        <v>0</v>
      </c>
      <c r="I5" s="17" t="n">
        <f aca="false">IFERROR(E5/(C5*D5),0)</f>
        <v>0</v>
      </c>
    </row>
    <row r="6" customFormat="false" ht="15" hidden="false" customHeight="false" outlineLevel="0" collapsed="false">
      <c r="A6" s="15" t="s">
        <v>97</v>
      </c>
      <c r="B6" s="15" t="s">
        <v>397</v>
      </c>
      <c r="C6" s="18" t="n">
        <v>30</v>
      </c>
      <c r="D6" s="15" t="n">
        <v>23</v>
      </c>
      <c r="E6" s="18" t="n">
        <v>0</v>
      </c>
      <c r="F6" s="15" t="n">
        <v>0</v>
      </c>
      <c r="G6" s="15" t="s">
        <v>398</v>
      </c>
      <c r="H6" s="15" t="n">
        <v>0</v>
      </c>
      <c r="I6" s="19" t="n">
        <f aca="false">IFERROR(E6/(C6*D6),0)</f>
        <v>0</v>
      </c>
    </row>
    <row r="7" customFormat="false" ht="23.85" hidden="false" customHeight="false" outlineLevel="0" collapsed="false">
      <c r="A7" s="13" t="s">
        <v>168</v>
      </c>
      <c r="B7" s="13" t="s">
        <v>399</v>
      </c>
      <c r="C7" s="16" t="n">
        <v>8</v>
      </c>
      <c r="D7" s="13" t="n">
        <v>12</v>
      </c>
      <c r="E7" s="16" t="n">
        <v>0</v>
      </c>
      <c r="F7" s="13" t="n">
        <v>0</v>
      </c>
      <c r="G7" s="13"/>
      <c r="H7" s="13" t="n">
        <v>0</v>
      </c>
      <c r="I7" s="17" t="n">
        <f aca="false">IFERROR(E7/(C7*D7),0)</f>
        <v>0</v>
      </c>
    </row>
    <row r="8" customFormat="false" ht="15" hidden="false" customHeight="false" outlineLevel="0" collapsed="false">
      <c r="A8" s="15" t="s">
        <v>202</v>
      </c>
      <c r="B8" s="15" t="s">
        <v>400</v>
      </c>
      <c r="C8" s="18" t="n">
        <v>500</v>
      </c>
      <c r="D8" s="15" t="n">
        <v>15</v>
      </c>
      <c r="E8" s="18" t="n">
        <v>0</v>
      </c>
      <c r="F8" s="15" t="n">
        <v>0</v>
      </c>
      <c r="G8" s="15" t="s">
        <v>401</v>
      </c>
      <c r="H8" s="15" t="n">
        <v>0.06</v>
      </c>
      <c r="I8" s="19" t="n">
        <f aca="false">IFERROR(E8/(C8*D8),0)</f>
        <v>0</v>
      </c>
    </row>
    <row r="9" customFormat="false" ht="15" hidden="false" customHeight="false" outlineLevel="0" collapsed="false">
      <c r="A9" s="13" t="s">
        <v>241</v>
      </c>
      <c r="B9" s="13" t="s">
        <v>402</v>
      </c>
      <c r="C9" s="16" t="n">
        <v>180</v>
      </c>
      <c r="D9" s="13" t="n">
        <v>8</v>
      </c>
      <c r="E9" s="16" t="n">
        <v>0</v>
      </c>
      <c r="F9" s="13" t="n">
        <v>0</v>
      </c>
      <c r="G9" s="13"/>
      <c r="H9" s="13" t="n">
        <v>0.01</v>
      </c>
      <c r="I9" s="17" t="n">
        <f aca="false">IFERROR(E9/(C9*D9),0)</f>
        <v>0</v>
      </c>
    </row>
    <row r="10" customFormat="false" ht="23.85" hidden="false" customHeight="false" outlineLevel="0" collapsed="false">
      <c r="A10" s="15" t="s">
        <v>260</v>
      </c>
      <c r="B10" s="15" t="s">
        <v>403</v>
      </c>
      <c r="C10" s="18" t="n">
        <v>24000</v>
      </c>
      <c r="D10" s="15" t="n">
        <v>10</v>
      </c>
      <c r="E10" s="18" t="n">
        <v>2370</v>
      </c>
      <c r="F10" s="15" t="n">
        <v>0</v>
      </c>
      <c r="G10" s="15" t="s">
        <v>404</v>
      </c>
      <c r="H10" s="15" t="n">
        <v>2.65</v>
      </c>
      <c r="I10" s="19" t="n">
        <f aca="false">IFERROR(E10/(C10*D10),0)</f>
        <v>0.009875</v>
      </c>
    </row>
    <row r="11" customFormat="false" ht="15" hidden="false" customHeight="false" outlineLevel="0" collapsed="false">
      <c r="A11" s="13" t="s">
        <v>287</v>
      </c>
      <c r="B11" s="13" t="s">
        <v>405</v>
      </c>
      <c r="C11" s="16" t="n">
        <v>155495</v>
      </c>
      <c r="D11" s="13" t="n">
        <v>9</v>
      </c>
      <c r="E11" s="16" t="n">
        <v>0</v>
      </c>
      <c r="F11" s="13" t="n">
        <v>0</v>
      </c>
      <c r="G11" s="13"/>
      <c r="H11" s="13" t="n">
        <v>11.39</v>
      </c>
      <c r="I11" s="17" t="n">
        <f aca="false">IFERROR(E11/(C11*D11),0)</f>
        <v>0</v>
      </c>
    </row>
    <row r="12" customFormat="false" ht="23.85" hidden="false" customHeight="false" outlineLevel="0" collapsed="false">
      <c r="A12" s="15" t="s">
        <v>308</v>
      </c>
      <c r="B12" s="15" t="s">
        <v>406</v>
      </c>
      <c r="C12" s="18" t="n">
        <v>20000</v>
      </c>
      <c r="D12" s="15" t="n">
        <v>11</v>
      </c>
      <c r="E12" s="18" t="n">
        <v>0</v>
      </c>
      <c r="F12" s="15" t="n">
        <v>0</v>
      </c>
      <c r="G12" s="15" t="s">
        <v>407</v>
      </c>
      <c r="H12" s="15" t="n">
        <v>2.11</v>
      </c>
      <c r="I12" s="19" t="n">
        <f aca="false">IFERROR(E12/(C12*D12),0)</f>
        <v>0</v>
      </c>
    </row>
    <row r="13" customFormat="false" ht="15" hidden="false" customHeight="false" outlineLevel="0" collapsed="false">
      <c r="A13" s="13" t="s">
        <v>332</v>
      </c>
      <c r="B13" s="13" t="s">
        <v>408</v>
      </c>
      <c r="C13" s="16" t="n">
        <v>130402</v>
      </c>
      <c r="D13" s="13" t="n">
        <v>9</v>
      </c>
      <c r="E13" s="16" t="n">
        <v>0</v>
      </c>
      <c r="F13" s="13" t="n">
        <v>0</v>
      </c>
      <c r="G13" s="13"/>
      <c r="H13" s="13" t="n">
        <v>7.19</v>
      </c>
      <c r="I13" s="17" t="n">
        <f aca="false">IFERROR(E13/(C13*D13),0)</f>
        <v>0</v>
      </c>
    </row>
    <row r="14" customFormat="false" ht="23.85" hidden="false" customHeight="false" outlineLevel="0" collapsed="false">
      <c r="A14" s="15" t="s">
        <v>343</v>
      </c>
      <c r="B14" s="15" t="s">
        <v>409</v>
      </c>
      <c r="C14" s="18" t="n">
        <v>18033</v>
      </c>
      <c r="D14" s="15" t="n">
        <v>10</v>
      </c>
      <c r="E14" s="18" t="n">
        <v>0</v>
      </c>
      <c r="F14" s="15" t="n">
        <v>0</v>
      </c>
      <c r="G14" s="15" t="s">
        <v>410</v>
      </c>
      <c r="H14" s="15" t="n">
        <v>1.69</v>
      </c>
      <c r="I14" s="19" t="n">
        <f aca="false">IFERROR(E14/(C14*D14),0)</f>
        <v>0</v>
      </c>
    </row>
    <row r="15" customFormat="false" ht="15" hidden="false" customHeight="false" outlineLevel="0" collapsed="false">
      <c r="A15" s="13" t="s">
        <v>354</v>
      </c>
      <c r="B15" s="13" t="s">
        <v>411</v>
      </c>
      <c r="C15" s="16" t="n">
        <v>19257</v>
      </c>
      <c r="D15" s="13" t="n">
        <v>5</v>
      </c>
      <c r="E15" s="16" t="n">
        <v>0</v>
      </c>
      <c r="F15" s="13" t="n">
        <v>0</v>
      </c>
      <c r="G15" s="13" t="s">
        <v>412</v>
      </c>
      <c r="H15" s="13" t="n">
        <v>0.98</v>
      </c>
      <c r="I15" s="17" t="n">
        <f aca="false">IFERROR(E15/(C15*D15),0)</f>
        <v>0</v>
      </c>
    </row>
    <row r="16" customFormat="false" ht="23.85" hidden="false" customHeight="false" outlineLevel="0" collapsed="false">
      <c r="A16" s="15" t="s">
        <v>368</v>
      </c>
      <c r="B16" s="15" t="s">
        <v>413</v>
      </c>
      <c r="C16" s="18" t="n">
        <v>237230</v>
      </c>
      <c r="D16" s="15" t="n">
        <v>9</v>
      </c>
      <c r="E16" s="18" t="n">
        <v>0</v>
      </c>
      <c r="F16" s="15" t="n">
        <v>0</v>
      </c>
      <c r="G16" s="15" t="s">
        <v>414</v>
      </c>
      <c r="H16" s="15" t="n">
        <v>14.88</v>
      </c>
      <c r="I16" s="19" t="n">
        <f aca="false">IFERROR(E16/(C16*D16),0)</f>
        <v>0</v>
      </c>
    </row>
    <row r="17" customFormat="false" ht="15" hidden="false" customHeight="false" outlineLevel="0" collapsed="false">
      <c r="A17" s="20" t="s">
        <v>415</v>
      </c>
      <c r="B17" s="20"/>
      <c r="C17" s="21" t="n">
        <f aca="false">SUM(C5:C16)</f>
        <v>605141</v>
      </c>
      <c r="D17" s="20" t="n">
        <f aca="false">SUM(D5:D16)</f>
        <v>134</v>
      </c>
      <c r="E17" s="21" t="n">
        <f aca="false">SUM(E5:E16)</f>
        <v>2370</v>
      </c>
      <c r="F17" s="20" t="n">
        <f aca="false">SUM(F5:F16)</f>
        <v>0</v>
      </c>
      <c r="G17" s="20"/>
      <c r="H17" s="20" t="n">
        <f aca="false">SUM(H5:H16)</f>
        <v>40.96</v>
      </c>
      <c r="I17" s="22" t="n">
        <f aca="false">IFERROR(E17/SUMPRODUCT(C5:C16,D5:D16),0)</f>
        <v>0.000434498682020665</v>
      </c>
    </row>
  </sheetData>
  <autoFilter ref="A4:I17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7"/>
    <col collapsed="false" customWidth="true" hidden="false" outlineLevel="0" max="9" min="9" style="0" width="20"/>
    <col collapsed="false" customWidth="true" hidden="false" outlineLevel="0" max="10" min="10" style="0" width="11"/>
    <col collapsed="false" customWidth="true" hidden="false" outlineLevel="0" max="11" min="11" style="0" width="14"/>
  </cols>
  <sheetData>
    <row r="1" customFormat="false" ht="19.7" hidden="false" customHeight="false" outlineLevel="0" collapsed="false">
      <c r="A1" s="10" t="s">
        <v>416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15" hidden="false" customHeight="false" outlineLevel="0" collapsed="false">
      <c r="A2" s="11" t="s">
        <v>417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customFormat="false" ht="3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customFormat="false" ht="30" hidden="false" customHeight="true" outlineLevel="0" collapsed="false">
      <c r="A4" s="12" t="s">
        <v>418</v>
      </c>
      <c r="B4" s="12" t="s">
        <v>419</v>
      </c>
      <c r="C4" s="12" t="s">
        <v>420</v>
      </c>
      <c r="D4" s="12" t="s">
        <v>421</v>
      </c>
      <c r="E4" s="12" t="s">
        <v>422</v>
      </c>
      <c r="F4" s="12" t="s">
        <v>423</v>
      </c>
      <c r="G4" s="12" t="s">
        <v>424</v>
      </c>
      <c r="H4" s="12" t="s">
        <v>425</v>
      </c>
      <c r="I4" s="12" t="s">
        <v>426</v>
      </c>
      <c r="J4" s="12" t="s">
        <v>427</v>
      </c>
      <c r="K4" s="12" t="s">
        <v>428</v>
      </c>
    </row>
    <row r="5" customFormat="false" ht="23.85" hidden="false" customHeight="false" outlineLevel="0" collapsed="false">
      <c r="A5" s="13" t="s">
        <v>429</v>
      </c>
      <c r="B5" s="13" t="s">
        <v>430</v>
      </c>
      <c r="C5" s="13" t="s">
        <v>431</v>
      </c>
      <c r="D5" s="13" t="s">
        <v>432</v>
      </c>
      <c r="E5" s="13" t="s">
        <v>433</v>
      </c>
      <c r="F5" s="13" t="s">
        <v>434</v>
      </c>
      <c r="G5" s="13" t="s">
        <v>435</v>
      </c>
      <c r="H5" s="13" t="s">
        <v>436</v>
      </c>
      <c r="I5" s="13" t="s">
        <v>437</v>
      </c>
      <c r="J5" s="14" t="s">
        <v>438</v>
      </c>
      <c r="K5" s="14"/>
    </row>
    <row r="6" customFormat="false" ht="15" hidden="false" customHeight="false" outlineLevel="0" collapsed="false">
      <c r="A6" s="15" t="s">
        <v>439</v>
      </c>
      <c r="B6" s="15" t="s">
        <v>430</v>
      </c>
      <c r="C6" s="15" t="s">
        <v>440</v>
      </c>
      <c r="D6" s="15" t="s">
        <v>441</v>
      </c>
      <c r="E6" s="15" t="s">
        <v>442</v>
      </c>
      <c r="F6" s="15" t="s">
        <v>443</v>
      </c>
      <c r="G6" s="15" t="s">
        <v>444</v>
      </c>
      <c r="H6" s="15" t="s">
        <v>436</v>
      </c>
      <c r="I6" s="15" t="s">
        <v>437</v>
      </c>
      <c r="J6" s="14" t="s">
        <v>438</v>
      </c>
      <c r="K6" s="14"/>
    </row>
    <row r="7" customFormat="false" ht="15" hidden="false" customHeight="false" outlineLevel="0" collapsed="false">
      <c r="A7" s="13" t="s">
        <v>445</v>
      </c>
      <c r="B7" s="13" t="s">
        <v>430</v>
      </c>
      <c r="C7" s="13" t="s">
        <v>446</v>
      </c>
      <c r="D7" s="13" t="s">
        <v>447</v>
      </c>
      <c r="E7" s="13" t="s">
        <v>368</v>
      </c>
      <c r="F7" s="13" t="s">
        <v>443</v>
      </c>
      <c r="G7" s="13" t="s">
        <v>448</v>
      </c>
      <c r="H7" s="13" t="s">
        <v>449</v>
      </c>
      <c r="I7" s="13" t="s">
        <v>437</v>
      </c>
      <c r="J7" s="14" t="s">
        <v>438</v>
      </c>
      <c r="K7" s="14"/>
    </row>
    <row r="8" customFormat="false" ht="15" hidden="false" customHeight="false" outlineLevel="0" collapsed="false">
      <c r="A8" s="15" t="s">
        <v>450</v>
      </c>
      <c r="B8" s="15" t="s">
        <v>430</v>
      </c>
      <c r="C8" s="15" t="s">
        <v>451</v>
      </c>
      <c r="D8" s="15" t="s">
        <v>452</v>
      </c>
      <c r="E8" s="15" t="s">
        <v>453</v>
      </c>
      <c r="F8" s="15" t="s">
        <v>454</v>
      </c>
      <c r="G8" s="15" t="s">
        <v>455</v>
      </c>
      <c r="H8" s="15" t="s">
        <v>436</v>
      </c>
      <c r="I8" s="15" t="s">
        <v>437</v>
      </c>
      <c r="J8" s="14" t="s">
        <v>438</v>
      </c>
      <c r="K8" s="14"/>
    </row>
    <row r="9" customFormat="false" ht="15" hidden="false" customHeight="false" outlineLevel="0" collapsed="false">
      <c r="A9" s="13" t="s">
        <v>456</v>
      </c>
      <c r="B9" s="13" t="s">
        <v>430</v>
      </c>
      <c r="C9" s="13" t="s">
        <v>457</v>
      </c>
      <c r="D9" s="13" t="s">
        <v>458</v>
      </c>
      <c r="E9" s="13" t="s">
        <v>453</v>
      </c>
      <c r="F9" s="13" t="s">
        <v>454</v>
      </c>
      <c r="G9" s="13" t="s">
        <v>459</v>
      </c>
      <c r="H9" s="13" t="s">
        <v>436</v>
      </c>
      <c r="I9" s="13" t="s">
        <v>437</v>
      </c>
      <c r="J9" s="14" t="s">
        <v>438</v>
      </c>
      <c r="K9" s="14"/>
    </row>
    <row r="10" customFormat="false" ht="15" hidden="false" customHeight="false" outlineLevel="0" collapsed="false">
      <c r="A10" s="15" t="s">
        <v>460</v>
      </c>
      <c r="B10" s="15" t="s">
        <v>430</v>
      </c>
      <c r="C10" s="15" t="s">
        <v>461</v>
      </c>
      <c r="D10" s="15" t="s">
        <v>462</v>
      </c>
      <c r="E10" s="15" t="s">
        <v>368</v>
      </c>
      <c r="F10" s="15" t="s">
        <v>443</v>
      </c>
      <c r="G10" s="15" t="s">
        <v>463</v>
      </c>
      <c r="H10" s="15" t="s">
        <v>436</v>
      </c>
      <c r="I10" s="15" t="s">
        <v>437</v>
      </c>
      <c r="J10" s="14" t="s">
        <v>438</v>
      </c>
      <c r="K10" s="14"/>
    </row>
    <row r="11" customFormat="false" ht="15" hidden="false" customHeight="false" outlineLevel="0" collapsed="false">
      <c r="A11" s="13" t="s">
        <v>464</v>
      </c>
      <c r="B11" s="13" t="s">
        <v>430</v>
      </c>
      <c r="C11" s="13" t="s">
        <v>465</v>
      </c>
      <c r="D11" s="13" t="s">
        <v>466</v>
      </c>
      <c r="E11" s="13" t="s">
        <v>433</v>
      </c>
      <c r="F11" s="13" t="s">
        <v>454</v>
      </c>
      <c r="G11" s="13" t="s">
        <v>467</v>
      </c>
      <c r="H11" s="13" t="s">
        <v>436</v>
      </c>
      <c r="I11" s="13" t="s">
        <v>437</v>
      </c>
      <c r="J11" s="14" t="s">
        <v>438</v>
      </c>
      <c r="K11" s="14"/>
    </row>
    <row r="12" customFormat="false" ht="15" hidden="false" customHeight="false" outlineLevel="0" collapsed="false">
      <c r="A12" s="15" t="s">
        <v>468</v>
      </c>
      <c r="B12" s="15" t="s">
        <v>430</v>
      </c>
      <c r="C12" s="15" t="s">
        <v>469</v>
      </c>
      <c r="D12" s="15" t="s">
        <v>470</v>
      </c>
      <c r="E12" s="15" t="s">
        <v>471</v>
      </c>
      <c r="F12" s="15" t="s">
        <v>472</v>
      </c>
      <c r="G12" s="15" t="s">
        <v>473</v>
      </c>
      <c r="H12" s="15" t="s">
        <v>436</v>
      </c>
      <c r="I12" s="15" t="s">
        <v>474</v>
      </c>
      <c r="J12" s="14" t="s">
        <v>438</v>
      </c>
      <c r="K12" s="14"/>
    </row>
    <row r="13" customFormat="false" ht="15" hidden="false" customHeight="false" outlineLevel="0" collapsed="false">
      <c r="A13" s="13" t="s">
        <v>475</v>
      </c>
      <c r="B13" s="13" t="s">
        <v>430</v>
      </c>
      <c r="C13" s="13" t="s">
        <v>476</v>
      </c>
      <c r="D13" s="13" t="s">
        <v>477</v>
      </c>
      <c r="E13" s="13" t="s">
        <v>433</v>
      </c>
      <c r="F13" s="13" t="s">
        <v>454</v>
      </c>
      <c r="G13" s="13" t="s">
        <v>478</v>
      </c>
      <c r="H13" s="13" t="s">
        <v>436</v>
      </c>
      <c r="I13" s="13" t="s">
        <v>437</v>
      </c>
      <c r="J13" s="14" t="s">
        <v>438</v>
      </c>
      <c r="K13" s="14"/>
    </row>
    <row r="14" customFormat="false" ht="15" hidden="false" customHeight="false" outlineLevel="0" collapsed="false">
      <c r="A14" s="15" t="s">
        <v>479</v>
      </c>
      <c r="B14" s="15" t="s">
        <v>480</v>
      </c>
      <c r="C14" s="15" t="s">
        <v>481</v>
      </c>
      <c r="D14" s="15" t="s">
        <v>482</v>
      </c>
      <c r="E14" s="15" t="s">
        <v>332</v>
      </c>
      <c r="F14" s="15" t="s">
        <v>472</v>
      </c>
      <c r="G14" s="15" t="s">
        <v>473</v>
      </c>
      <c r="H14" s="15" t="s">
        <v>436</v>
      </c>
      <c r="I14" s="15" t="s">
        <v>474</v>
      </c>
      <c r="J14" s="14" t="s">
        <v>438</v>
      </c>
      <c r="K14" s="14"/>
    </row>
    <row r="15" customFormat="false" ht="15" hidden="false" customHeight="false" outlineLevel="0" collapsed="false">
      <c r="A15" s="13" t="s">
        <v>483</v>
      </c>
      <c r="B15" s="13" t="s">
        <v>480</v>
      </c>
      <c r="C15" s="13" t="s">
        <v>484</v>
      </c>
      <c r="D15" s="13" t="s">
        <v>485</v>
      </c>
      <c r="E15" s="13" t="s">
        <v>471</v>
      </c>
      <c r="F15" s="13" t="s">
        <v>472</v>
      </c>
      <c r="G15" s="13" t="s">
        <v>486</v>
      </c>
      <c r="H15" s="13" t="s">
        <v>436</v>
      </c>
      <c r="I15" s="13" t="s">
        <v>474</v>
      </c>
      <c r="J15" s="14" t="s">
        <v>438</v>
      </c>
      <c r="K15" s="14"/>
    </row>
    <row r="16" customFormat="false" ht="15" hidden="false" customHeight="false" outlineLevel="0" collapsed="false">
      <c r="A16" s="15" t="s">
        <v>487</v>
      </c>
      <c r="B16" s="15" t="s">
        <v>480</v>
      </c>
      <c r="C16" s="15" t="s">
        <v>488</v>
      </c>
      <c r="D16" s="15" t="s">
        <v>489</v>
      </c>
      <c r="E16" s="15" t="s">
        <v>368</v>
      </c>
      <c r="F16" s="15" t="s">
        <v>443</v>
      </c>
      <c r="G16" s="15" t="s">
        <v>473</v>
      </c>
      <c r="H16" s="15" t="s">
        <v>436</v>
      </c>
      <c r="I16" s="15" t="s">
        <v>474</v>
      </c>
      <c r="J16" s="14" t="s">
        <v>438</v>
      </c>
      <c r="K16" s="14"/>
    </row>
    <row r="17" customFormat="false" ht="15" hidden="false" customHeight="false" outlineLevel="0" collapsed="false">
      <c r="A17" s="13" t="s">
        <v>490</v>
      </c>
      <c r="B17" s="13" t="s">
        <v>480</v>
      </c>
      <c r="C17" s="13" t="s">
        <v>491</v>
      </c>
      <c r="D17" s="13" t="s">
        <v>492</v>
      </c>
      <c r="E17" s="13" t="s">
        <v>442</v>
      </c>
      <c r="F17" s="13" t="s">
        <v>472</v>
      </c>
      <c r="G17" s="13" t="s">
        <v>473</v>
      </c>
      <c r="H17" s="13" t="s">
        <v>436</v>
      </c>
      <c r="I17" s="13" t="s">
        <v>474</v>
      </c>
      <c r="J17" s="14" t="s">
        <v>438</v>
      </c>
      <c r="K17" s="14"/>
    </row>
    <row r="18" customFormat="false" ht="15" hidden="false" customHeight="false" outlineLevel="0" collapsed="false">
      <c r="A18" s="15" t="s">
        <v>493</v>
      </c>
      <c r="B18" s="15" t="s">
        <v>480</v>
      </c>
      <c r="C18" s="15" t="s">
        <v>494</v>
      </c>
      <c r="D18" s="15" t="s">
        <v>495</v>
      </c>
      <c r="E18" s="15" t="s">
        <v>332</v>
      </c>
      <c r="F18" s="15" t="s">
        <v>496</v>
      </c>
      <c r="G18" s="15" t="s">
        <v>473</v>
      </c>
      <c r="H18" s="15" t="s">
        <v>449</v>
      </c>
      <c r="I18" s="15" t="s">
        <v>474</v>
      </c>
      <c r="J18" s="14" t="s">
        <v>438</v>
      </c>
      <c r="K18" s="14"/>
    </row>
    <row r="19" customFormat="false" ht="15" hidden="false" customHeight="false" outlineLevel="0" collapsed="false">
      <c r="A19" s="13" t="s">
        <v>497</v>
      </c>
      <c r="B19" s="13" t="s">
        <v>498</v>
      </c>
      <c r="C19" s="13" t="s">
        <v>499</v>
      </c>
      <c r="D19" s="13" t="s">
        <v>500</v>
      </c>
      <c r="E19" s="13" t="s">
        <v>368</v>
      </c>
      <c r="F19" s="13" t="s">
        <v>454</v>
      </c>
      <c r="G19" s="13" t="s">
        <v>501</v>
      </c>
      <c r="H19" s="13" t="s">
        <v>436</v>
      </c>
      <c r="I19" s="13" t="s">
        <v>502</v>
      </c>
      <c r="J19" s="14" t="s">
        <v>438</v>
      </c>
      <c r="K19" s="14"/>
    </row>
    <row r="20" customFormat="false" ht="15" hidden="false" customHeight="false" outlineLevel="0" collapsed="false">
      <c r="A20" s="15" t="s">
        <v>503</v>
      </c>
      <c r="B20" s="15" t="s">
        <v>498</v>
      </c>
      <c r="C20" s="15" t="s">
        <v>504</v>
      </c>
      <c r="D20" s="15" t="s">
        <v>505</v>
      </c>
      <c r="E20" s="15" t="s">
        <v>55</v>
      </c>
      <c r="F20" s="15" t="s">
        <v>454</v>
      </c>
      <c r="G20" s="15" t="s">
        <v>506</v>
      </c>
      <c r="H20" s="15" t="s">
        <v>436</v>
      </c>
      <c r="I20" s="15" t="s">
        <v>502</v>
      </c>
      <c r="J20" s="14" t="s">
        <v>438</v>
      </c>
      <c r="K20" s="14"/>
    </row>
    <row r="21" customFormat="false" ht="15" hidden="false" customHeight="false" outlineLevel="0" collapsed="false">
      <c r="A21" s="13" t="s">
        <v>507</v>
      </c>
      <c r="B21" s="13" t="s">
        <v>498</v>
      </c>
      <c r="C21" s="13" t="s">
        <v>508</v>
      </c>
      <c r="D21" s="13" t="s">
        <v>509</v>
      </c>
      <c r="E21" s="13" t="s">
        <v>55</v>
      </c>
      <c r="F21" s="13" t="s">
        <v>454</v>
      </c>
      <c r="G21" s="13" t="s">
        <v>510</v>
      </c>
      <c r="H21" s="13" t="s">
        <v>436</v>
      </c>
      <c r="I21" s="13" t="s">
        <v>502</v>
      </c>
      <c r="J21" s="14" t="s">
        <v>438</v>
      </c>
      <c r="K21" s="14"/>
    </row>
    <row r="22" customFormat="false" ht="15" hidden="false" customHeight="false" outlineLevel="0" collapsed="false">
      <c r="A22" s="15" t="s">
        <v>511</v>
      </c>
      <c r="B22" s="15" t="s">
        <v>498</v>
      </c>
      <c r="C22" s="15" t="s">
        <v>512</v>
      </c>
      <c r="D22" s="15" t="s">
        <v>513</v>
      </c>
      <c r="E22" s="15" t="s">
        <v>55</v>
      </c>
      <c r="F22" s="15" t="s">
        <v>454</v>
      </c>
      <c r="G22" s="15" t="s">
        <v>514</v>
      </c>
      <c r="H22" s="15" t="s">
        <v>436</v>
      </c>
      <c r="I22" s="15" t="s">
        <v>502</v>
      </c>
      <c r="J22" s="14" t="s">
        <v>438</v>
      </c>
      <c r="K22" s="14"/>
    </row>
    <row r="23" customFormat="false" ht="15" hidden="false" customHeight="false" outlineLevel="0" collapsed="false">
      <c r="A23" s="13" t="s">
        <v>515</v>
      </c>
      <c r="B23" s="13" t="s">
        <v>498</v>
      </c>
      <c r="C23" s="13" t="s">
        <v>516</v>
      </c>
      <c r="D23" s="13" t="s">
        <v>517</v>
      </c>
      <c r="E23" s="13" t="s">
        <v>518</v>
      </c>
      <c r="F23" s="13" t="s">
        <v>454</v>
      </c>
      <c r="G23" s="13" t="s">
        <v>519</v>
      </c>
      <c r="H23" s="13" t="s">
        <v>436</v>
      </c>
      <c r="I23" s="13" t="s">
        <v>502</v>
      </c>
      <c r="J23" s="14" t="s">
        <v>438</v>
      </c>
      <c r="K23" s="14"/>
    </row>
    <row r="24" customFormat="false" ht="15" hidden="false" customHeight="false" outlineLevel="0" collapsed="false">
      <c r="A24" s="15" t="s">
        <v>520</v>
      </c>
      <c r="B24" s="15" t="s">
        <v>498</v>
      </c>
      <c r="C24" s="15" t="s">
        <v>521</v>
      </c>
      <c r="D24" s="15" t="s">
        <v>522</v>
      </c>
      <c r="E24" s="15" t="s">
        <v>308</v>
      </c>
      <c r="F24" s="15" t="s">
        <v>454</v>
      </c>
      <c r="G24" s="15" t="s">
        <v>523</v>
      </c>
      <c r="H24" s="15" t="s">
        <v>436</v>
      </c>
      <c r="I24" s="15" t="s">
        <v>502</v>
      </c>
      <c r="J24" s="14" t="s">
        <v>438</v>
      </c>
      <c r="K24" s="14"/>
    </row>
    <row r="25" customFormat="false" ht="15" hidden="false" customHeight="false" outlineLevel="0" collapsed="false">
      <c r="A25" s="13" t="s">
        <v>524</v>
      </c>
      <c r="B25" s="13" t="s">
        <v>498</v>
      </c>
      <c r="C25" s="13" t="s">
        <v>525</v>
      </c>
      <c r="D25" s="13" t="s">
        <v>526</v>
      </c>
      <c r="E25" s="13" t="s">
        <v>442</v>
      </c>
      <c r="F25" s="13" t="s">
        <v>454</v>
      </c>
      <c r="G25" s="13" t="s">
        <v>527</v>
      </c>
      <c r="H25" s="13" t="s">
        <v>436</v>
      </c>
      <c r="I25" s="13" t="s">
        <v>502</v>
      </c>
      <c r="J25" s="14" t="s">
        <v>438</v>
      </c>
      <c r="K25" s="14"/>
    </row>
    <row r="26" customFormat="false" ht="23.85" hidden="false" customHeight="false" outlineLevel="0" collapsed="false">
      <c r="A26" s="15" t="s">
        <v>528</v>
      </c>
      <c r="B26" s="15" t="s">
        <v>529</v>
      </c>
      <c r="C26" s="15" t="s">
        <v>530</v>
      </c>
      <c r="D26" s="15" t="s">
        <v>531</v>
      </c>
      <c r="E26" s="15" t="s">
        <v>260</v>
      </c>
      <c r="F26" s="15" t="s">
        <v>532</v>
      </c>
      <c r="G26" s="15" t="s">
        <v>533</v>
      </c>
      <c r="H26" s="15" t="s">
        <v>534</v>
      </c>
      <c r="I26" s="15" t="s">
        <v>535</v>
      </c>
      <c r="J26" s="14" t="s">
        <v>438</v>
      </c>
      <c r="K26" s="14"/>
    </row>
    <row r="27" customFormat="false" ht="15" hidden="false" customHeight="false" outlineLevel="0" collapsed="false">
      <c r="A27" s="13" t="s">
        <v>536</v>
      </c>
      <c r="B27" s="13" t="s">
        <v>529</v>
      </c>
      <c r="C27" s="13" t="s">
        <v>537</v>
      </c>
      <c r="D27" s="13" t="s">
        <v>538</v>
      </c>
      <c r="E27" s="13" t="s">
        <v>260</v>
      </c>
      <c r="F27" s="13" t="s">
        <v>532</v>
      </c>
      <c r="G27" s="13" t="s">
        <v>539</v>
      </c>
      <c r="H27" s="13" t="s">
        <v>534</v>
      </c>
      <c r="I27" s="13" t="s">
        <v>535</v>
      </c>
      <c r="J27" s="14" t="s">
        <v>438</v>
      </c>
      <c r="K27" s="14"/>
    </row>
    <row r="28" customFormat="false" ht="15" hidden="false" customHeight="false" outlineLevel="0" collapsed="false">
      <c r="A28" s="15" t="s">
        <v>540</v>
      </c>
      <c r="B28" s="15" t="s">
        <v>529</v>
      </c>
      <c r="C28" s="15" t="s">
        <v>541</v>
      </c>
      <c r="D28" s="15" t="s">
        <v>542</v>
      </c>
      <c r="E28" s="15" t="s">
        <v>543</v>
      </c>
      <c r="F28" s="15" t="s">
        <v>532</v>
      </c>
      <c r="G28" s="15" t="s">
        <v>544</v>
      </c>
      <c r="H28" s="15" t="s">
        <v>534</v>
      </c>
      <c r="I28" s="15" t="s">
        <v>535</v>
      </c>
      <c r="J28" s="14" t="s">
        <v>438</v>
      </c>
      <c r="K28" s="14"/>
    </row>
    <row r="29" customFormat="false" ht="15" hidden="false" customHeight="false" outlineLevel="0" collapsed="false">
      <c r="A29" s="13" t="s">
        <v>545</v>
      </c>
      <c r="B29" s="13" t="s">
        <v>529</v>
      </c>
      <c r="C29" s="13" t="s">
        <v>546</v>
      </c>
      <c r="D29" s="13" t="s">
        <v>547</v>
      </c>
      <c r="E29" s="13" t="s">
        <v>260</v>
      </c>
      <c r="F29" s="13" t="s">
        <v>532</v>
      </c>
      <c r="G29" s="13" t="s">
        <v>459</v>
      </c>
      <c r="H29" s="13" t="s">
        <v>534</v>
      </c>
      <c r="I29" s="13" t="s">
        <v>535</v>
      </c>
      <c r="J29" s="14" t="s">
        <v>438</v>
      </c>
      <c r="K29" s="14"/>
    </row>
    <row r="30" customFormat="false" ht="23.85" hidden="false" customHeight="false" outlineLevel="0" collapsed="false">
      <c r="A30" s="15" t="s">
        <v>548</v>
      </c>
      <c r="B30" s="15" t="s">
        <v>529</v>
      </c>
      <c r="C30" s="15" t="s">
        <v>549</v>
      </c>
      <c r="D30" s="15" t="s">
        <v>550</v>
      </c>
      <c r="E30" s="15" t="s">
        <v>260</v>
      </c>
      <c r="F30" s="15" t="s">
        <v>532</v>
      </c>
      <c r="G30" s="15" t="s">
        <v>551</v>
      </c>
      <c r="H30" s="15" t="s">
        <v>534</v>
      </c>
      <c r="I30" s="15" t="s">
        <v>535</v>
      </c>
      <c r="J30" s="14" t="s">
        <v>438</v>
      </c>
      <c r="K30" s="14"/>
    </row>
    <row r="31" customFormat="false" ht="15" hidden="false" customHeight="false" outlineLevel="0" collapsed="false">
      <c r="A31" s="13" t="s">
        <v>552</v>
      </c>
      <c r="B31" s="13" t="s">
        <v>529</v>
      </c>
      <c r="C31" s="13" t="s">
        <v>553</v>
      </c>
      <c r="D31" s="13" t="s">
        <v>554</v>
      </c>
      <c r="E31" s="13" t="s">
        <v>555</v>
      </c>
      <c r="F31" s="13" t="s">
        <v>472</v>
      </c>
      <c r="G31" s="13" t="s">
        <v>556</v>
      </c>
      <c r="H31" s="13" t="s">
        <v>534</v>
      </c>
      <c r="I31" s="13" t="s">
        <v>535</v>
      </c>
      <c r="J31" s="14" t="s">
        <v>438</v>
      </c>
      <c r="K31" s="14"/>
    </row>
    <row r="32" customFormat="false" ht="15" hidden="false" customHeight="false" outlineLevel="0" collapsed="false">
      <c r="A32" s="15" t="s">
        <v>557</v>
      </c>
      <c r="B32" s="15" t="s">
        <v>529</v>
      </c>
      <c r="C32" s="15" t="s">
        <v>558</v>
      </c>
      <c r="D32" s="15" t="s">
        <v>559</v>
      </c>
      <c r="E32" s="15" t="s">
        <v>560</v>
      </c>
      <c r="F32" s="15" t="s">
        <v>561</v>
      </c>
      <c r="G32" s="15" t="s">
        <v>473</v>
      </c>
      <c r="H32" s="15" t="s">
        <v>534</v>
      </c>
      <c r="I32" s="15" t="s">
        <v>535</v>
      </c>
      <c r="J32" s="14" t="s">
        <v>438</v>
      </c>
      <c r="K32" s="14"/>
    </row>
    <row r="33" customFormat="false" ht="15" hidden="false" customHeight="false" outlineLevel="0" collapsed="false">
      <c r="A33" s="13" t="s">
        <v>562</v>
      </c>
      <c r="B33" s="13" t="s">
        <v>563</v>
      </c>
      <c r="C33" s="13" t="s">
        <v>564</v>
      </c>
      <c r="D33" s="13" t="s">
        <v>565</v>
      </c>
      <c r="E33" s="13" t="s">
        <v>343</v>
      </c>
      <c r="F33" s="13" t="s">
        <v>566</v>
      </c>
      <c r="G33" s="13" t="s">
        <v>473</v>
      </c>
      <c r="H33" s="13" t="s">
        <v>534</v>
      </c>
      <c r="I33" s="13" t="s">
        <v>567</v>
      </c>
      <c r="J33" s="14" t="s">
        <v>438</v>
      </c>
      <c r="K33" s="14"/>
    </row>
    <row r="34" customFormat="false" ht="15" hidden="false" customHeight="false" outlineLevel="0" collapsed="false">
      <c r="A34" s="15" t="s">
        <v>568</v>
      </c>
      <c r="B34" s="15" t="s">
        <v>563</v>
      </c>
      <c r="C34" s="15" t="s">
        <v>569</v>
      </c>
      <c r="D34" s="15" t="s">
        <v>570</v>
      </c>
      <c r="E34" s="15" t="s">
        <v>571</v>
      </c>
      <c r="F34" s="15" t="s">
        <v>566</v>
      </c>
      <c r="G34" s="15" t="s">
        <v>473</v>
      </c>
      <c r="H34" s="15" t="s">
        <v>534</v>
      </c>
      <c r="I34" s="15" t="s">
        <v>567</v>
      </c>
      <c r="J34" s="14" t="s">
        <v>438</v>
      </c>
      <c r="K34" s="14"/>
    </row>
    <row r="35" customFormat="false" ht="15" hidden="false" customHeight="false" outlineLevel="0" collapsed="false">
      <c r="A35" s="13" t="s">
        <v>572</v>
      </c>
      <c r="B35" s="13" t="s">
        <v>563</v>
      </c>
      <c r="C35" s="13" t="s">
        <v>573</v>
      </c>
      <c r="D35" s="13" t="s">
        <v>574</v>
      </c>
      <c r="E35" s="13" t="s">
        <v>308</v>
      </c>
      <c r="F35" s="13" t="s">
        <v>575</v>
      </c>
      <c r="G35" s="13" t="s">
        <v>576</v>
      </c>
      <c r="H35" s="13" t="s">
        <v>534</v>
      </c>
      <c r="I35" s="13" t="s">
        <v>567</v>
      </c>
      <c r="J35" s="14" t="s">
        <v>438</v>
      </c>
      <c r="K35" s="14"/>
    </row>
    <row r="36" customFormat="false" ht="15" hidden="false" customHeight="false" outlineLevel="0" collapsed="false">
      <c r="A36" s="15" t="s">
        <v>577</v>
      </c>
      <c r="B36" s="15" t="s">
        <v>563</v>
      </c>
      <c r="C36" s="15" t="s">
        <v>578</v>
      </c>
      <c r="D36" s="15" t="s">
        <v>579</v>
      </c>
      <c r="E36" s="15" t="s">
        <v>308</v>
      </c>
      <c r="F36" s="15" t="s">
        <v>566</v>
      </c>
      <c r="G36" s="15" t="s">
        <v>580</v>
      </c>
      <c r="H36" s="15" t="s">
        <v>449</v>
      </c>
      <c r="I36" s="15" t="s">
        <v>567</v>
      </c>
      <c r="J36" s="14" t="s">
        <v>438</v>
      </c>
      <c r="K36" s="14"/>
    </row>
    <row r="37" customFormat="false" ht="15" hidden="false" customHeight="false" outlineLevel="0" collapsed="false">
      <c r="A37" s="13" t="s">
        <v>581</v>
      </c>
      <c r="B37" s="13" t="s">
        <v>563</v>
      </c>
      <c r="C37" s="13" t="s">
        <v>582</v>
      </c>
      <c r="D37" s="13" t="s">
        <v>583</v>
      </c>
      <c r="E37" s="13" t="s">
        <v>584</v>
      </c>
      <c r="F37" s="13" t="s">
        <v>585</v>
      </c>
      <c r="G37" s="13" t="s">
        <v>586</v>
      </c>
      <c r="H37" s="13" t="s">
        <v>534</v>
      </c>
      <c r="I37" s="13" t="s">
        <v>567</v>
      </c>
      <c r="J37" s="14" t="s">
        <v>438</v>
      </c>
      <c r="K37" s="14"/>
    </row>
    <row r="38" customFormat="false" ht="15" hidden="false" customHeight="false" outlineLevel="0" collapsed="false">
      <c r="A38" s="15" t="s">
        <v>587</v>
      </c>
      <c r="B38" s="15" t="s">
        <v>563</v>
      </c>
      <c r="C38" s="15" t="s">
        <v>588</v>
      </c>
      <c r="D38" s="15" t="s">
        <v>589</v>
      </c>
      <c r="E38" s="15" t="s">
        <v>584</v>
      </c>
      <c r="F38" s="15" t="s">
        <v>454</v>
      </c>
      <c r="G38" s="15" t="s">
        <v>590</v>
      </c>
      <c r="H38" s="15" t="s">
        <v>534</v>
      </c>
      <c r="I38" s="15" t="s">
        <v>567</v>
      </c>
      <c r="J38" s="14" t="s">
        <v>438</v>
      </c>
      <c r="K38" s="14"/>
    </row>
    <row r="39" customFormat="false" ht="15" hidden="false" customHeight="false" outlineLevel="0" collapsed="false">
      <c r="A39" s="13" t="s">
        <v>591</v>
      </c>
      <c r="B39" s="13" t="s">
        <v>563</v>
      </c>
      <c r="C39" s="13" t="s">
        <v>592</v>
      </c>
      <c r="D39" s="13" t="s">
        <v>593</v>
      </c>
      <c r="E39" s="13" t="s">
        <v>202</v>
      </c>
      <c r="F39" s="13" t="s">
        <v>566</v>
      </c>
      <c r="G39" s="13" t="s">
        <v>594</v>
      </c>
      <c r="H39" s="13" t="s">
        <v>534</v>
      </c>
      <c r="I39" s="13" t="s">
        <v>567</v>
      </c>
      <c r="J39" s="14" t="s">
        <v>438</v>
      </c>
      <c r="K39" s="14"/>
    </row>
    <row r="40" customFormat="false" ht="15" hidden="false" customHeight="false" outlineLevel="0" collapsed="false">
      <c r="A40" s="15" t="s">
        <v>595</v>
      </c>
      <c r="B40" s="15" t="s">
        <v>596</v>
      </c>
      <c r="C40" s="15" t="s">
        <v>597</v>
      </c>
      <c r="D40" s="15" t="s">
        <v>598</v>
      </c>
      <c r="E40" s="15" t="s">
        <v>442</v>
      </c>
      <c r="F40" s="15" t="s">
        <v>443</v>
      </c>
      <c r="G40" s="15" t="s">
        <v>473</v>
      </c>
      <c r="H40" s="15" t="s">
        <v>449</v>
      </c>
      <c r="I40" s="15" t="s">
        <v>437</v>
      </c>
      <c r="J40" s="14" t="s">
        <v>438</v>
      </c>
      <c r="K40" s="14"/>
    </row>
    <row r="41" customFormat="false" ht="15" hidden="false" customHeight="false" outlineLevel="0" collapsed="false">
      <c r="A41" s="13" t="s">
        <v>599</v>
      </c>
      <c r="B41" s="13" t="s">
        <v>596</v>
      </c>
      <c r="C41" s="13" t="s">
        <v>600</v>
      </c>
      <c r="D41" s="13" t="s">
        <v>601</v>
      </c>
      <c r="E41" s="13" t="s">
        <v>442</v>
      </c>
      <c r="F41" s="13" t="s">
        <v>443</v>
      </c>
      <c r="G41" s="13" t="s">
        <v>473</v>
      </c>
      <c r="H41" s="13" t="s">
        <v>449</v>
      </c>
      <c r="I41" s="13" t="s">
        <v>437</v>
      </c>
      <c r="J41" s="14" t="s">
        <v>438</v>
      </c>
      <c r="K41" s="14"/>
    </row>
    <row r="42" customFormat="false" ht="15" hidden="false" customHeight="false" outlineLevel="0" collapsed="false">
      <c r="A42" s="15" t="s">
        <v>602</v>
      </c>
      <c r="B42" s="15" t="s">
        <v>596</v>
      </c>
      <c r="C42" s="15" t="s">
        <v>603</v>
      </c>
      <c r="D42" s="15" t="s">
        <v>604</v>
      </c>
      <c r="E42" s="15" t="s">
        <v>605</v>
      </c>
      <c r="F42" s="15" t="s">
        <v>443</v>
      </c>
      <c r="G42" s="15" t="s">
        <v>473</v>
      </c>
      <c r="H42" s="15" t="s">
        <v>449</v>
      </c>
      <c r="I42" s="15" t="s">
        <v>437</v>
      </c>
      <c r="J42" s="14" t="s">
        <v>438</v>
      </c>
      <c r="K42" s="14"/>
    </row>
    <row r="43" customFormat="false" ht="23.85" hidden="false" customHeight="false" outlineLevel="0" collapsed="false">
      <c r="A43" s="13" t="s">
        <v>606</v>
      </c>
      <c r="B43" s="13" t="s">
        <v>607</v>
      </c>
      <c r="C43" s="13" t="s">
        <v>608</v>
      </c>
      <c r="D43" s="13" t="s">
        <v>609</v>
      </c>
      <c r="E43" s="13" t="s">
        <v>610</v>
      </c>
      <c r="F43" s="13" t="s">
        <v>443</v>
      </c>
      <c r="G43" s="13" t="n">
        <f aca="false">0</f>
        <v>0</v>
      </c>
      <c r="H43" s="13" t="s">
        <v>449</v>
      </c>
      <c r="I43" s="13" t="s">
        <v>611</v>
      </c>
      <c r="J43" s="14" t="s">
        <v>438</v>
      </c>
      <c r="K43" s="14"/>
    </row>
    <row r="44" customFormat="false" ht="15" hidden="false" customHeight="false" outlineLevel="0" collapsed="false">
      <c r="A44" s="15" t="s">
        <v>612</v>
      </c>
      <c r="B44" s="15" t="s">
        <v>607</v>
      </c>
      <c r="C44" s="15" t="s">
        <v>613</v>
      </c>
      <c r="D44" s="15" t="s">
        <v>614</v>
      </c>
      <c r="E44" s="15" t="s">
        <v>368</v>
      </c>
      <c r="F44" s="15" t="s">
        <v>454</v>
      </c>
      <c r="G44" s="15" t="s">
        <v>615</v>
      </c>
      <c r="H44" s="15" t="s">
        <v>449</v>
      </c>
      <c r="I44" s="15" t="s">
        <v>611</v>
      </c>
      <c r="J44" s="14" t="s">
        <v>438</v>
      </c>
      <c r="K44" s="14"/>
    </row>
    <row r="45" customFormat="false" ht="15" hidden="false" customHeight="false" outlineLevel="0" collapsed="false">
      <c r="A45" s="13" t="s">
        <v>616</v>
      </c>
      <c r="B45" s="13" t="s">
        <v>607</v>
      </c>
      <c r="C45" s="13" t="s">
        <v>617</v>
      </c>
      <c r="D45" s="13" t="s">
        <v>618</v>
      </c>
      <c r="E45" s="13" t="s">
        <v>368</v>
      </c>
      <c r="F45" s="13" t="s">
        <v>454</v>
      </c>
      <c r="G45" s="13" t="s">
        <v>619</v>
      </c>
      <c r="H45" s="13" t="s">
        <v>449</v>
      </c>
      <c r="I45" s="13" t="s">
        <v>611</v>
      </c>
      <c r="J45" s="14" t="s">
        <v>438</v>
      </c>
      <c r="K45" s="14"/>
    </row>
  </sheetData>
  <autoFilter ref="A4:K45"/>
  <mergeCells count="2">
    <mergeCell ref="A1:K1"/>
    <mergeCell ref="A2:K2"/>
  </mergeCells>
  <conditionalFormatting sqref="J5:J45">
    <cfRule type="cellIs" priority="2" operator="equal" aboveAverage="0" equalAverage="0" bottom="0" percent="0" rank="0" text="" dxfId="6">
      <formula>"Live"</formula>
    </cfRule>
  </conditionalFormatting>
  <dataValidations count="1">
    <dataValidation allowBlank="true" errorStyle="stop" operator="between" showDropDown="false" showErrorMessage="false" showInputMessage="false" sqref="J5:J45" type="list">
      <formula1>"Planned,In progress,Live,Retired"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9"/>
    <col collapsed="false" customWidth="true" hidden="false" outlineLevel="0" max="4" min="4" style="0" width="18"/>
    <col collapsed="false" customWidth="true" hidden="false" outlineLevel="0" max="5" min="5" style="0" width="5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40"/>
  </cols>
  <sheetData>
    <row r="1" customFormat="false" ht="19.7" hidden="false" customHeight="false" outlineLevel="0" collapsed="false">
      <c r="A1" s="10" t="s">
        <v>620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5" hidden="false" customHeight="false" outlineLevel="0" collapsed="false">
      <c r="A2" s="11" t="s">
        <v>621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3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customFormat="false" ht="30" hidden="false" customHeight="true" outlineLevel="0" collapsed="false">
      <c r="A4" s="12" t="s">
        <v>622</v>
      </c>
      <c r="B4" s="12" t="s">
        <v>623</v>
      </c>
      <c r="C4" s="12" t="s">
        <v>624</v>
      </c>
      <c r="D4" s="12" t="s">
        <v>625</v>
      </c>
      <c r="E4" s="12" t="s">
        <v>626</v>
      </c>
      <c r="F4" s="12" t="s">
        <v>627</v>
      </c>
      <c r="G4" s="12" t="s">
        <v>427</v>
      </c>
      <c r="H4" s="12" t="s">
        <v>38</v>
      </c>
      <c r="I4" s="12" t="s">
        <v>628</v>
      </c>
      <c r="J4" s="12" t="s">
        <v>629</v>
      </c>
      <c r="K4" s="12" t="s">
        <v>630</v>
      </c>
      <c r="L4" s="12" t="s">
        <v>631</v>
      </c>
      <c r="M4" s="12" t="s">
        <v>632</v>
      </c>
    </row>
    <row r="5" customFormat="false" ht="15" hidden="false" customHeight="false" outlineLevel="0" collapsed="false">
      <c r="A5" s="13" t="s">
        <v>633</v>
      </c>
      <c r="B5" s="13" t="s">
        <v>634</v>
      </c>
      <c r="C5" s="13" t="s">
        <v>635</v>
      </c>
      <c r="D5" s="13" t="s">
        <v>636</v>
      </c>
      <c r="E5" s="13" t="s">
        <v>637</v>
      </c>
      <c r="F5" s="13" t="s">
        <v>638</v>
      </c>
      <c r="G5" s="14" t="s">
        <v>639</v>
      </c>
      <c r="H5" s="13" t="n">
        <f aca="false">COUNTIFS(05_Task_Catalogue!D5:D63,A5*1,05_Task_Catalogue!G5:G63,"Done")</f>
        <v>0</v>
      </c>
      <c r="I5" s="13" t="n">
        <f aca="false">COUNTIF(05_Task_Catalogue!D5:D63,A5*1)</f>
        <v>1</v>
      </c>
      <c r="J5" s="23" t="n">
        <f aca="false">IFERROR(H5/I5,0)</f>
        <v>0</v>
      </c>
      <c r="K5" s="13" t="s">
        <v>640</v>
      </c>
      <c r="L5" s="14" t="s">
        <v>641</v>
      </c>
      <c r="M5" s="14"/>
    </row>
    <row r="6" customFormat="false" ht="15" hidden="false" customHeight="false" outlineLevel="0" collapsed="false">
      <c r="A6" s="15" t="s">
        <v>642</v>
      </c>
      <c r="B6" s="15" t="s">
        <v>643</v>
      </c>
      <c r="C6" s="15" t="s">
        <v>644</v>
      </c>
      <c r="D6" s="15" t="s">
        <v>636</v>
      </c>
      <c r="E6" s="15" t="s">
        <v>645</v>
      </c>
      <c r="F6" s="15" t="s">
        <v>436</v>
      </c>
      <c r="G6" s="14" t="s">
        <v>438</v>
      </c>
      <c r="H6" s="15" t="n">
        <f aca="false">COUNTIFS(05_Task_Catalogue!D5:D63,A6*1,05_Task_Catalogue!G5:G63,"Done")</f>
        <v>0</v>
      </c>
      <c r="I6" s="15" t="n">
        <f aca="false">COUNTIF(05_Task_Catalogue!D5:D63,A6*1)</f>
        <v>3</v>
      </c>
      <c r="J6" s="24" t="n">
        <f aca="false">IFERROR(H6/I6,0)</f>
        <v>0</v>
      </c>
      <c r="K6" s="15" t="s">
        <v>646</v>
      </c>
      <c r="L6" s="14" t="s">
        <v>641</v>
      </c>
      <c r="M6" s="14"/>
    </row>
    <row r="7" customFormat="false" ht="15" hidden="false" customHeight="false" outlineLevel="0" collapsed="false">
      <c r="A7" s="13" t="s">
        <v>647</v>
      </c>
      <c r="B7" s="13" t="s">
        <v>648</v>
      </c>
      <c r="C7" s="13" t="s">
        <v>649</v>
      </c>
      <c r="D7" s="13" t="s">
        <v>636</v>
      </c>
      <c r="E7" s="13" t="s">
        <v>650</v>
      </c>
      <c r="F7" s="13" t="s">
        <v>534</v>
      </c>
      <c r="G7" s="14" t="s">
        <v>438</v>
      </c>
      <c r="H7" s="13" t="n">
        <f aca="false">COUNTIFS(05_Task_Catalogue!D5:D63,A7*1,05_Task_Catalogue!G5:G63,"Done")</f>
        <v>0</v>
      </c>
      <c r="I7" s="13" t="n">
        <f aca="false">COUNTIF(05_Task_Catalogue!D5:D63,A7*1)</f>
        <v>2</v>
      </c>
      <c r="J7" s="23" t="n">
        <f aca="false">IFERROR(H7/I7,0)</f>
        <v>0</v>
      </c>
      <c r="K7" s="13" t="s">
        <v>651</v>
      </c>
      <c r="L7" s="14" t="s">
        <v>641</v>
      </c>
      <c r="M7" s="14"/>
    </row>
    <row r="8" customFormat="false" ht="15" hidden="false" customHeight="false" outlineLevel="0" collapsed="false">
      <c r="A8" s="15" t="s">
        <v>652</v>
      </c>
      <c r="B8" s="15" t="s">
        <v>653</v>
      </c>
      <c r="C8" s="15" t="s">
        <v>654</v>
      </c>
      <c r="D8" s="15" t="s">
        <v>655</v>
      </c>
      <c r="E8" s="15" t="s">
        <v>656</v>
      </c>
      <c r="F8" s="15" t="s">
        <v>638</v>
      </c>
      <c r="G8" s="14" t="s">
        <v>438</v>
      </c>
      <c r="H8" s="15" t="n">
        <f aca="false">COUNTIFS(05_Task_Catalogue!D5:D63,A8*1,05_Task_Catalogue!G5:G63,"Done")</f>
        <v>0</v>
      </c>
      <c r="I8" s="15" t="n">
        <f aca="false">COUNTIF(05_Task_Catalogue!D5:D63,A8*1)</f>
        <v>4</v>
      </c>
      <c r="J8" s="24" t="n">
        <f aca="false">IFERROR(H8/I8,0)</f>
        <v>0</v>
      </c>
      <c r="K8" s="15" t="s">
        <v>657</v>
      </c>
      <c r="L8" s="14" t="s">
        <v>641</v>
      </c>
      <c r="M8" s="14"/>
    </row>
    <row r="9" customFormat="false" ht="15" hidden="false" customHeight="false" outlineLevel="0" collapsed="false">
      <c r="A9" s="13" t="s">
        <v>658</v>
      </c>
      <c r="B9" s="13" t="s">
        <v>659</v>
      </c>
      <c r="C9" s="13" t="s">
        <v>660</v>
      </c>
      <c r="D9" s="13" t="s">
        <v>655</v>
      </c>
      <c r="E9" s="13" t="s">
        <v>661</v>
      </c>
      <c r="F9" s="13" t="s">
        <v>436</v>
      </c>
      <c r="G9" s="14" t="s">
        <v>438</v>
      </c>
      <c r="H9" s="13" t="n">
        <f aca="false">COUNTIFS(05_Task_Catalogue!D5:D63,A9*1,05_Task_Catalogue!G5:G63,"Done")</f>
        <v>0</v>
      </c>
      <c r="I9" s="13" t="n">
        <f aca="false">COUNTIF(05_Task_Catalogue!D5:D63,A9*1)</f>
        <v>5</v>
      </c>
      <c r="J9" s="23" t="n">
        <f aca="false">IFERROR(H9/I9,0)</f>
        <v>0</v>
      </c>
      <c r="K9" s="13" t="s">
        <v>662</v>
      </c>
      <c r="L9" s="14" t="s">
        <v>641</v>
      </c>
      <c r="M9" s="14"/>
    </row>
    <row r="10" customFormat="false" ht="15" hidden="false" customHeight="false" outlineLevel="0" collapsed="false">
      <c r="A10" s="15" t="s">
        <v>663</v>
      </c>
      <c r="B10" s="15" t="s">
        <v>664</v>
      </c>
      <c r="C10" s="15" t="s">
        <v>665</v>
      </c>
      <c r="D10" s="15" t="s">
        <v>498</v>
      </c>
      <c r="E10" s="15" t="s">
        <v>666</v>
      </c>
      <c r="F10" s="15" t="s">
        <v>534</v>
      </c>
      <c r="G10" s="14" t="s">
        <v>438</v>
      </c>
      <c r="H10" s="15" t="n">
        <f aca="false">COUNTIFS(05_Task_Catalogue!D5:D63,A10*1,05_Task_Catalogue!G5:G63,"Done")</f>
        <v>0</v>
      </c>
      <c r="I10" s="15" t="n">
        <f aca="false">COUNTIF(05_Task_Catalogue!D5:D63,A10*1)</f>
        <v>7</v>
      </c>
      <c r="J10" s="24" t="n">
        <f aca="false">IFERROR(H10/I10,0)</f>
        <v>0</v>
      </c>
      <c r="K10" s="15" t="s">
        <v>667</v>
      </c>
      <c r="L10" s="14" t="s">
        <v>641</v>
      </c>
      <c r="M10" s="14"/>
    </row>
    <row r="11" customFormat="false" ht="15" hidden="false" customHeight="false" outlineLevel="0" collapsed="false">
      <c r="A11" s="13" t="s">
        <v>668</v>
      </c>
      <c r="B11" s="13" t="s">
        <v>669</v>
      </c>
      <c r="C11" s="13" t="s">
        <v>670</v>
      </c>
      <c r="D11" s="13" t="s">
        <v>529</v>
      </c>
      <c r="E11" s="13" t="s">
        <v>671</v>
      </c>
      <c r="F11" s="13" t="s">
        <v>638</v>
      </c>
      <c r="G11" s="14" t="s">
        <v>438</v>
      </c>
      <c r="H11" s="13" t="n">
        <f aca="false">COUNTIFS(05_Task_Catalogue!D5:D63,A11*1,05_Task_Catalogue!G5:G63,"Done")</f>
        <v>0</v>
      </c>
      <c r="I11" s="13" t="n">
        <f aca="false">COUNTIF(05_Task_Catalogue!D5:D63,A11*1)</f>
        <v>6</v>
      </c>
      <c r="J11" s="23" t="n">
        <f aca="false">IFERROR(H11/I11,0)</f>
        <v>0</v>
      </c>
      <c r="K11" s="13" t="s">
        <v>672</v>
      </c>
      <c r="L11" s="14" t="s">
        <v>641</v>
      </c>
      <c r="M11" s="14"/>
    </row>
    <row r="12" customFormat="false" ht="15" hidden="false" customHeight="false" outlineLevel="0" collapsed="false">
      <c r="A12" s="15" t="s">
        <v>673</v>
      </c>
      <c r="B12" s="15" t="s">
        <v>674</v>
      </c>
      <c r="C12" s="15" t="s">
        <v>675</v>
      </c>
      <c r="D12" s="15" t="s">
        <v>563</v>
      </c>
      <c r="E12" s="15" t="s">
        <v>676</v>
      </c>
      <c r="F12" s="15" t="s">
        <v>436</v>
      </c>
      <c r="G12" s="14" t="s">
        <v>438</v>
      </c>
      <c r="H12" s="15" t="n">
        <f aca="false">COUNTIFS(05_Task_Catalogue!D5:D63,A12*1,05_Task_Catalogue!G5:G63,"Done")</f>
        <v>0</v>
      </c>
      <c r="I12" s="15" t="n">
        <f aca="false">COUNTIF(05_Task_Catalogue!D5:D63,A12*1)</f>
        <v>9</v>
      </c>
      <c r="J12" s="24" t="n">
        <f aca="false">IFERROR(H12/I12,0)</f>
        <v>0</v>
      </c>
      <c r="K12" s="15" t="s">
        <v>677</v>
      </c>
      <c r="L12" s="14" t="s">
        <v>641</v>
      </c>
      <c r="M12" s="14"/>
    </row>
    <row r="13" customFormat="false" ht="15" hidden="false" customHeight="false" outlineLevel="0" collapsed="false">
      <c r="A13" s="13" t="s">
        <v>678</v>
      </c>
      <c r="B13" s="13" t="s">
        <v>679</v>
      </c>
      <c r="C13" s="13" t="s">
        <v>680</v>
      </c>
      <c r="D13" s="13" t="s">
        <v>681</v>
      </c>
      <c r="E13" s="13" t="s">
        <v>682</v>
      </c>
      <c r="F13" s="13" t="s">
        <v>534</v>
      </c>
      <c r="G13" s="14" t="s">
        <v>438</v>
      </c>
      <c r="H13" s="13" t="n">
        <f aca="false">COUNTIFS(05_Task_Catalogue!D5:D63,A13*1,05_Task_Catalogue!G5:G63,"Done")</f>
        <v>0</v>
      </c>
      <c r="I13" s="13" t="n">
        <f aca="false">COUNTIF(05_Task_Catalogue!D5:D63,A13*1)</f>
        <v>6</v>
      </c>
      <c r="J13" s="23" t="n">
        <f aca="false">IFERROR(H13/I13,0)</f>
        <v>0</v>
      </c>
      <c r="K13" s="13" t="s">
        <v>683</v>
      </c>
      <c r="L13" s="14" t="s">
        <v>641</v>
      </c>
      <c r="M13" s="14"/>
    </row>
    <row r="14" customFormat="false" ht="15" hidden="false" customHeight="false" outlineLevel="0" collapsed="false">
      <c r="A14" s="15" t="s">
        <v>145</v>
      </c>
      <c r="B14" s="15" t="s">
        <v>684</v>
      </c>
      <c r="C14" s="15" t="s">
        <v>685</v>
      </c>
      <c r="D14" s="15" t="s">
        <v>686</v>
      </c>
      <c r="E14" s="15" t="s">
        <v>687</v>
      </c>
      <c r="F14" s="15" t="s">
        <v>638</v>
      </c>
      <c r="G14" s="14" t="s">
        <v>438</v>
      </c>
      <c r="H14" s="15" t="n">
        <f aca="false">COUNTIFS(05_Task_Catalogue!D5:D63,A14*1,05_Task_Catalogue!G5:G63,"Done")</f>
        <v>0</v>
      </c>
      <c r="I14" s="15" t="n">
        <f aca="false">COUNTIF(05_Task_Catalogue!D5:D63,A14*1)</f>
        <v>6</v>
      </c>
      <c r="J14" s="24" t="n">
        <f aca="false">IFERROR(H14/I14,0)</f>
        <v>0</v>
      </c>
      <c r="K14" s="15" t="s">
        <v>688</v>
      </c>
      <c r="L14" s="14" t="s">
        <v>641</v>
      </c>
      <c r="M14" s="14"/>
    </row>
    <row r="15" customFormat="false" ht="15" hidden="false" customHeight="false" outlineLevel="0" collapsed="false">
      <c r="A15" s="13" t="s">
        <v>689</v>
      </c>
      <c r="B15" s="13" t="s">
        <v>690</v>
      </c>
      <c r="C15" s="13" t="s">
        <v>691</v>
      </c>
      <c r="D15" s="13" t="s">
        <v>692</v>
      </c>
      <c r="E15" s="13" t="s">
        <v>693</v>
      </c>
      <c r="F15" s="13" t="s">
        <v>436</v>
      </c>
      <c r="G15" s="14" t="s">
        <v>438</v>
      </c>
      <c r="H15" s="13" t="n">
        <f aca="false">COUNTIFS(05_Task_Catalogue!D5:D63,A15*1,05_Task_Catalogue!G5:G63,"Done")</f>
        <v>0</v>
      </c>
      <c r="I15" s="13" t="n">
        <f aca="false">COUNTIF(05_Task_Catalogue!D5:D63,A15*1)</f>
        <v>8</v>
      </c>
      <c r="J15" s="23" t="n">
        <f aca="false">IFERROR(H15/I15,0)</f>
        <v>0</v>
      </c>
      <c r="K15" s="13" t="s">
        <v>694</v>
      </c>
      <c r="L15" s="14" t="s">
        <v>641</v>
      </c>
      <c r="M15" s="14"/>
    </row>
    <row r="16" customFormat="false" ht="15" hidden="false" customHeight="false" outlineLevel="0" collapsed="false">
      <c r="A16" s="15" t="s">
        <v>139</v>
      </c>
      <c r="B16" s="15" t="s">
        <v>695</v>
      </c>
      <c r="C16" s="15" t="s">
        <v>696</v>
      </c>
      <c r="D16" s="15" t="s">
        <v>697</v>
      </c>
      <c r="E16" s="15" t="s">
        <v>698</v>
      </c>
      <c r="F16" s="15" t="s">
        <v>534</v>
      </c>
      <c r="G16" s="14" t="s">
        <v>438</v>
      </c>
      <c r="H16" s="15" t="n">
        <f aca="false">COUNTIFS(05_Task_Catalogue!D5:D63,A16*1,05_Task_Catalogue!G5:G63,"Done")</f>
        <v>0</v>
      </c>
      <c r="I16" s="15" t="n">
        <f aca="false">COUNTIF(05_Task_Catalogue!D5:D63,A16*1)</f>
        <v>2</v>
      </c>
      <c r="J16" s="24" t="n">
        <f aca="false">IFERROR(H16/I16,0)</f>
        <v>0</v>
      </c>
      <c r="K16" s="15" t="s">
        <v>699</v>
      </c>
      <c r="L16" s="14" t="s">
        <v>641</v>
      </c>
      <c r="M16" s="14"/>
    </row>
  </sheetData>
  <autoFilter ref="A4:M16"/>
  <mergeCells count="2">
    <mergeCell ref="A1:M1"/>
    <mergeCell ref="A2:M2"/>
  </mergeCells>
  <conditionalFormatting sqref="G5:G16">
    <cfRule type="cellIs" priority="2" operator="equal" aboveAverage="0" equalAverage="0" bottom="0" percent="0" rank="0" text="" dxfId="6">
      <formula>"Done"</formula>
    </cfRule>
    <cfRule type="cellIs" priority="3" operator="equal" aboveAverage="0" equalAverage="0" bottom="0" percent="0" rank="0" text="" dxfId="7">
      <formula>"Slipped"</formula>
    </cfRule>
  </conditionalFormatting>
  <dataValidations count="1">
    <dataValidation allowBlank="true" errorStyle="stop" operator="between" showDropDown="false" showErrorMessage="false" showInputMessage="false" sqref="G5:G16" type="list">
      <formula1>"Planned,In progress,Done,Slipped"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7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9" min="8" style="0" width="44"/>
    <col collapsed="false" customWidth="true" hidden="false" outlineLevel="0" max="10" min="10" style="0" width="24"/>
  </cols>
  <sheetData>
    <row r="1" customFormat="false" ht="19.7" hidden="false" customHeight="false" outlineLevel="0" collapsed="false">
      <c r="A1" s="10" t="s">
        <v>700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15" hidden="false" customHeight="false" outlineLevel="0" collapsed="false">
      <c r="A2" s="11" t="s">
        <v>701</v>
      </c>
      <c r="B2" s="11"/>
      <c r="C2" s="11"/>
      <c r="D2" s="11"/>
      <c r="E2" s="11"/>
      <c r="F2" s="11"/>
      <c r="G2" s="11"/>
      <c r="H2" s="11"/>
      <c r="I2" s="11"/>
      <c r="J2" s="11"/>
    </row>
    <row r="3" customFormat="false" ht="3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</row>
    <row r="4" customFormat="false" ht="30" hidden="false" customHeight="true" outlineLevel="0" collapsed="false">
      <c r="A4" s="12" t="s">
        <v>418</v>
      </c>
      <c r="B4" s="12" t="s">
        <v>702</v>
      </c>
      <c r="C4" s="12" t="s">
        <v>703</v>
      </c>
      <c r="D4" s="12" t="s">
        <v>622</v>
      </c>
      <c r="E4" s="12" t="s">
        <v>625</v>
      </c>
      <c r="F4" s="12" t="s">
        <v>425</v>
      </c>
      <c r="G4" s="12" t="s">
        <v>427</v>
      </c>
      <c r="H4" s="12" t="s">
        <v>704</v>
      </c>
      <c r="I4" s="12" t="s">
        <v>705</v>
      </c>
      <c r="J4" s="12" t="s">
        <v>706</v>
      </c>
    </row>
    <row r="5" customFormat="false" ht="23.85" hidden="false" customHeight="false" outlineLevel="0" collapsed="false">
      <c r="A5" s="13" t="s">
        <v>707</v>
      </c>
      <c r="B5" s="13" t="s">
        <v>708</v>
      </c>
      <c r="C5" s="13" t="s">
        <v>709</v>
      </c>
      <c r="D5" s="14" t="n">
        <v>1</v>
      </c>
      <c r="E5" s="13" t="s">
        <v>710</v>
      </c>
      <c r="F5" s="14" t="s">
        <v>638</v>
      </c>
      <c r="G5" s="14" t="s">
        <v>639</v>
      </c>
      <c r="H5" s="14" t="s">
        <v>711</v>
      </c>
      <c r="I5" s="14"/>
      <c r="J5" s="14"/>
    </row>
    <row r="6" customFormat="false" ht="23.85" hidden="false" customHeight="false" outlineLevel="0" collapsed="false">
      <c r="A6" s="15" t="s">
        <v>712</v>
      </c>
      <c r="B6" s="15" t="s">
        <v>708</v>
      </c>
      <c r="C6" s="15" t="s">
        <v>713</v>
      </c>
      <c r="D6" s="14" t="n">
        <v>2</v>
      </c>
      <c r="E6" s="15" t="s">
        <v>710</v>
      </c>
      <c r="F6" s="14" t="s">
        <v>436</v>
      </c>
      <c r="G6" s="14" t="s">
        <v>438</v>
      </c>
      <c r="H6" s="14" t="s">
        <v>714</v>
      </c>
      <c r="I6" s="14"/>
      <c r="J6" s="14"/>
    </row>
    <row r="7" customFormat="false" ht="23.85" hidden="false" customHeight="false" outlineLevel="0" collapsed="false">
      <c r="A7" s="13" t="s">
        <v>715</v>
      </c>
      <c r="B7" s="13" t="s">
        <v>708</v>
      </c>
      <c r="C7" s="13" t="s">
        <v>716</v>
      </c>
      <c r="D7" s="14" t="n">
        <v>2</v>
      </c>
      <c r="E7" s="13" t="s">
        <v>710</v>
      </c>
      <c r="F7" s="14" t="s">
        <v>436</v>
      </c>
      <c r="G7" s="14" t="s">
        <v>438</v>
      </c>
      <c r="H7" s="14" t="s">
        <v>717</v>
      </c>
      <c r="I7" s="14"/>
      <c r="J7" s="14"/>
    </row>
    <row r="8" customFormat="false" ht="23.85" hidden="false" customHeight="false" outlineLevel="0" collapsed="false">
      <c r="A8" s="15" t="s">
        <v>718</v>
      </c>
      <c r="B8" s="15" t="s">
        <v>708</v>
      </c>
      <c r="C8" s="15" t="s">
        <v>719</v>
      </c>
      <c r="D8" s="14" t="n">
        <v>3</v>
      </c>
      <c r="E8" s="15" t="s">
        <v>710</v>
      </c>
      <c r="F8" s="14" t="s">
        <v>534</v>
      </c>
      <c r="G8" s="14" t="s">
        <v>438</v>
      </c>
      <c r="H8" s="14" t="s">
        <v>720</v>
      </c>
      <c r="I8" s="14"/>
      <c r="J8" s="14"/>
    </row>
    <row r="9" customFormat="false" ht="23.85" hidden="false" customHeight="false" outlineLevel="0" collapsed="false">
      <c r="A9" s="13" t="s">
        <v>721</v>
      </c>
      <c r="B9" s="13" t="s">
        <v>708</v>
      </c>
      <c r="C9" s="13" t="s">
        <v>722</v>
      </c>
      <c r="D9" s="14" t="n">
        <v>3</v>
      </c>
      <c r="E9" s="13" t="s">
        <v>710</v>
      </c>
      <c r="F9" s="14" t="s">
        <v>534</v>
      </c>
      <c r="G9" s="14" t="s">
        <v>438</v>
      </c>
      <c r="H9" s="14" t="s">
        <v>723</v>
      </c>
      <c r="I9" s="14"/>
      <c r="J9" s="14"/>
    </row>
    <row r="10" customFormat="false" ht="23.85" hidden="false" customHeight="false" outlineLevel="0" collapsed="false">
      <c r="A10" s="15" t="s">
        <v>724</v>
      </c>
      <c r="B10" s="15" t="s">
        <v>708</v>
      </c>
      <c r="C10" s="15" t="s">
        <v>725</v>
      </c>
      <c r="D10" s="14" t="n">
        <v>2</v>
      </c>
      <c r="E10" s="15" t="s">
        <v>710</v>
      </c>
      <c r="F10" s="14" t="s">
        <v>436</v>
      </c>
      <c r="G10" s="14" t="s">
        <v>438</v>
      </c>
      <c r="H10" s="14" t="s">
        <v>726</v>
      </c>
      <c r="I10" s="14"/>
      <c r="J10" s="14"/>
    </row>
    <row r="11" customFormat="false" ht="15" hidden="false" customHeight="false" outlineLevel="0" collapsed="false">
      <c r="A11" s="13" t="s">
        <v>727</v>
      </c>
      <c r="B11" s="13" t="s">
        <v>728</v>
      </c>
      <c r="C11" s="13" t="s">
        <v>729</v>
      </c>
      <c r="D11" s="14" t="n">
        <v>4</v>
      </c>
      <c r="E11" s="13" t="s">
        <v>730</v>
      </c>
      <c r="F11" s="14" t="s">
        <v>436</v>
      </c>
      <c r="G11" s="14" t="s">
        <v>731</v>
      </c>
      <c r="H11" s="14"/>
      <c r="I11" s="14"/>
      <c r="J11" s="14"/>
    </row>
    <row r="12" customFormat="false" ht="15" hidden="false" customHeight="false" outlineLevel="0" collapsed="false">
      <c r="A12" s="15" t="s">
        <v>732</v>
      </c>
      <c r="B12" s="15" t="s">
        <v>728</v>
      </c>
      <c r="C12" s="15" t="s">
        <v>733</v>
      </c>
      <c r="D12" s="14" t="n">
        <v>4</v>
      </c>
      <c r="E12" s="15" t="s">
        <v>730</v>
      </c>
      <c r="F12" s="14" t="s">
        <v>436</v>
      </c>
      <c r="G12" s="14" t="s">
        <v>731</v>
      </c>
      <c r="H12" s="14"/>
      <c r="I12" s="14"/>
      <c r="J12" s="14"/>
    </row>
    <row r="13" customFormat="false" ht="15" hidden="false" customHeight="false" outlineLevel="0" collapsed="false">
      <c r="A13" s="13" t="s">
        <v>734</v>
      </c>
      <c r="B13" s="13" t="s">
        <v>728</v>
      </c>
      <c r="C13" s="13" t="s">
        <v>735</v>
      </c>
      <c r="D13" s="14" t="n">
        <v>4</v>
      </c>
      <c r="E13" s="13" t="s">
        <v>730</v>
      </c>
      <c r="F13" s="14" t="s">
        <v>436</v>
      </c>
      <c r="G13" s="14" t="s">
        <v>731</v>
      </c>
      <c r="H13" s="14"/>
      <c r="I13" s="14"/>
      <c r="J13" s="14"/>
    </row>
    <row r="14" customFormat="false" ht="15" hidden="false" customHeight="false" outlineLevel="0" collapsed="false">
      <c r="A14" s="15" t="s">
        <v>736</v>
      </c>
      <c r="B14" s="15" t="s">
        <v>728</v>
      </c>
      <c r="C14" s="15" t="s">
        <v>737</v>
      </c>
      <c r="D14" s="14" t="n">
        <v>5</v>
      </c>
      <c r="E14" s="15" t="s">
        <v>730</v>
      </c>
      <c r="F14" s="14" t="s">
        <v>436</v>
      </c>
      <c r="G14" s="14" t="s">
        <v>731</v>
      </c>
      <c r="H14" s="14"/>
      <c r="I14" s="14"/>
      <c r="J14" s="14"/>
    </row>
    <row r="15" customFormat="false" ht="15" hidden="false" customHeight="false" outlineLevel="0" collapsed="false">
      <c r="A15" s="13" t="s">
        <v>738</v>
      </c>
      <c r="B15" s="13" t="s">
        <v>728</v>
      </c>
      <c r="C15" s="13" t="s">
        <v>739</v>
      </c>
      <c r="D15" s="14" t="n">
        <v>5</v>
      </c>
      <c r="E15" s="13" t="s">
        <v>730</v>
      </c>
      <c r="F15" s="14" t="s">
        <v>436</v>
      </c>
      <c r="G15" s="14" t="s">
        <v>731</v>
      </c>
      <c r="H15" s="14"/>
      <c r="I15" s="14"/>
      <c r="J15" s="14"/>
    </row>
    <row r="16" customFormat="false" ht="15" hidden="false" customHeight="false" outlineLevel="0" collapsed="false">
      <c r="A16" s="15" t="s">
        <v>740</v>
      </c>
      <c r="B16" s="15" t="s">
        <v>728</v>
      </c>
      <c r="C16" s="15" t="s">
        <v>741</v>
      </c>
      <c r="D16" s="14" t="n">
        <v>5</v>
      </c>
      <c r="E16" s="15" t="s">
        <v>730</v>
      </c>
      <c r="F16" s="14" t="s">
        <v>534</v>
      </c>
      <c r="G16" s="14" t="s">
        <v>731</v>
      </c>
      <c r="H16" s="14"/>
      <c r="I16" s="14"/>
      <c r="J16" s="14"/>
    </row>
    <row r="17" customFormat="false" ht="15" hidden="false" customHeight="false" outlineLevel="0" collapsed="false">
      <c r="A17" s="13" t="s">
        <v>742</v>
      </c>
      <c r="B17" s="13" t="s">
        <v>728</v>
      </c>
      <c r="C17" s="13" t="s">
        <v>743</v>
      </c>
      <c r="D17" s="14" t="n">
        <v>4</v>
      </c>
      <c r="E17" s="13" t="s">
        <v>730</v>
      </c>
      <c r="F17" s="14" t="s">
        <v>638</v>
      </c>
      <c r="G17" s="14" t="s">
        <v>731</v>
      </c>
      <c r="H17" s="14"/>
      <c r="I17" s="14"/>
      <c r="J17" s="14"/>
    </row>
    <row r="18" customFormat="false" ht="15" hidden="false" customHeight="false" outlineLevel="0" collapsed="false">
      <c r="A18" s="15" t="s">
        <v>744</v>
      </c>
      <c r="B18" s="15" t="s">
        <v>728</v>
      </c>
      <c r="C18" s="15" t="s">
        <v>745</v>
      </c>
      <c r="D18" s="14" t="n">
        <v>5</v>
      </c>
      <c r="E18" s="15" t="s">
        <v>730</v>
      </c>
      <c r="F18" s="14" t="s">
        <v>534</v>
      </c>
      <c r="G18" s="14" t="s">
        <v>731</v>
      </c>
      <c r="H18" s="14"/>
      <c r="I18" s="14"/>
      <c r="J18" s="14"/>
    </row>
    <row r="19" customFormat="false" ht="15" hidden="false" customHeight="false" outlineLevel="0" collapsed="false">
      <c r="A19" s="13" t="s">
        <v>746</v>
      </c>
      <c r="B19" s="13" t="s">
        <v>728</v>
      </c>
      <c r="C19" s="13" t="s">
        <v>747</v>
      </c>
      <c r="D19" s="14" t="n">
        <v>5</v>
      </c>
      <c r="E19" s="13" t="s">
        <v>730</v>
      </c>
      <c r="F19" s="14" t="s">
        <v>638</v>
      </c>
      <c r="G19" s="14" t="s">
        <v>731</v>
      </c>
      <c r="H19" s="14"/>
      <c r="I19" s="14"/>
      <c r="J19" s="14"/>
    </row>
    <row r="20" customFormat="false" ht="15" hidden="false" customHeight="false" outlineLevel="0" collapsed="false">
      <c r="A20" s="15" t="s">
        <v>748</v>
      </c>
      <c r="B20" s="15" t="s">
        <v>749</v>
      </c>
      <c r="C20" s="15" t="s">
        <v>750</v>
      </c>
      <c r="D20" s="14" t="n">
        <v>6</v>
      </c>
      <c r="E20" s="15" t="s">
        <v>730</v>
      </c>
      <c r="F20" s="14" t="s">
        <v>436</v>
      </c>
      <c r="G20" s="14" t="s">
        <v>731</v>
      </c>
      <c r="H20" s="14"/>
      <c r="I20" s="14"/>
      <c r="J20" s="14"/>
    </row>
    <row r="21" customFormat="false" ht="15" hidden="false" customHeight="false" outlineLevel="0" collapsed="false">
      <c r="A21" s="13" t="s">
        <v>751</v>
      </c>
      <c r="B21" s="13" t="s">
        <v>749</v>
      </c>
      <c r="C21" s="13" t="s">
        <v>752</v>
      </c>
      <c r="D21" s="14" t="n">
        <v>6</v>
      </c>
      <c r="E21" s="13" t="s">
        <v>730</v>
      </c>
      <c r="F21" s="14" t="s">
        <v>436</v>
      </c>
      <c r="G21" s="14" t="s">
        <v>731</v>
      </c>
      <c r="H21" s="14"/>
      <c r="I21" s="14"/>
      <c r="J21" s="14"/>
    </row>
    <row r="22" customFormat="false" ht="15" hidden="false" customHeight="false" outlineLevel="0" collapsed="false">
      <c r="A22" s="15" t="s">
        <v>753</v>
      </c>
      <c r="B22" s="15" t="s">
        <v>749</v>
      </c>
      <c r="C22" s="15" t="s">
        <v>754</v>
      </c>
      <c r="D22" s="14" t="n">
        <v>6</v>
      </c>
      <c r="E22" s="15" t="s">
        <v>730</v>
      </c>
      <c r="F22" s="14" t="s">
        <v>534</v>
      </c>
      <c r="G22" s="14" t="s">
        <v>731</v>
      </c>
      <c r="H22" s="14"/>
      <c r="I22" s="14"/>
      <c r="J22" s="14"/>
    </row>
    <row r="23" customFormat="false" ht="15" hidden="false" customHeight="false" outlineLevel="0" collapsed="false">
      <c r="A23" s="13" t="s">
        <v>755</v>
      </c>
      <c r="B23" s="13" t="s">
        <v>749</v>
      </c>
      <c r="C23" s="13" t="s">
        <v>756</v>
      </c>
      <c r="D23" s="14" t="n">
        <v>6</v>
      </c>
      <c r="E23" s="13" t="s">
        <v>730</v>
      </c>
      <c r="F23" s="14" t="s">
        <v>638</v>
      </c>
      <c r="G23" s="14" t="s">
        <v>731</v>
      </c>
      <c r="H23" s="14"/>
      <c r="I23" s="14"/>
      <c r="J23" s="14"/>
    </row>
    <row r="24" customFormat="false" ht="15" hidden="false" customHeight="false" outlineLevel="0" collapsed="false">
      <c r="A24" s="15" t="s">
        <v>757</v>
      </c>
      <c r="B24" s="15" t="s">
        <v>749</v>
      </c>
      <c r="C24" s="15" t="s">
        <v>758</v>
      </c>
      <c r="D24" s="14" t="n">
        <v>6</v>
      </c>
      <c r="E24" s="15" t="s">
        <v>730</v>
      </c>
      <c r="F24" s="14" t="s">
        <v>534</v>
      </c>
      <c r="G24" s="14" t="s">
        <v>731</v>
      </c>
      <c r="H24" s="14"/>
      <c r="I24" s="14"/>
      <c r="J24" s="14"/>
    </row>
    <row r="25" customFormat="false" ht="15" hidden="false" customHeight="false" outlineLevel="0" collapsed="false">
      <c r="A25" s="13" t="s">
        <v>759</v>
      </c>
      <c r="B25" s="13" t="s">
        <v>749</v>
      </c>
      <c r="C25" s="13" t="s">
        <v>760</v>
      </c>
      <c r="D25" s="14" t="n">
        <v>6</v>
      </c>
      <c r="E25" s="13" t="s">
        <v>730</v>
      </c>
      <c r="F25" s="14" t="s">
        <v>638</v>
      </c>
      <c r="G25" s="14" t="s">
        <v>731</v>
      </c>
      <c r="H25" s="14"/>
      <c r="I25" s="14"/>
      <c r="J25" s="14"/>
    </row>
    <row r="26" customFormat="false" ht="15" hidden="false" customHeight="false" outlineLevel="0" collapsed="false">
      <c r="A26" s="15" t="s">
        <v>761</v>
      </c>
      <c r="B26" s="15" t="s">
        <v>749</v>
      </c>
      <c r="C26" s="15" t="s">
        <v>762</v>
      </c>
      <c r="D26" s="14" t="n">
        <v>6</v>
      </c>
      <c r="E26" s="15" t="s">
        <v>730</v>
      </c>
      <c r="F26" s="14" t="s">
        <v>436</v>
      </c>
      <c r="G26" s="14" t="s">
        <v>731</v>
      </c>
      <c r="H26" s="14"/>
      <c r="I26" s="14"/>
      <c r="J26" s="14"/>
    </row>
    <row r="27" customFormat="false" ht="15" hidden="false" customHeight="false" outlineLevel="0" collapsed="false">
      <c r="A27" s="13" t="s">
        <v>763</v>
      </c>
      <c r="B27" s="13" t="s">
        <v>764</v>
      </c>
      <c r="C27" s="13" t="s">
        <v>765</v>
      </c>
      <c r="D27" s="14" t="n">
        <v>7</v>
      </c>
      <c r="E27" s="13" t="s">
        <v>766</v>
      </c>
      <c r="F27" s="14" t="s">
        <v>534</v>
      </c>
      <c r="G27" s="14" t="s">
        <v>731</v>
      </c>
      <c r="H27" s="14"/>
      <c r="I27" s="14"/>
      <c r="J27" s="14"/>
    </row>
    <row r="28" customFormat="false" ht="15" hidden="false" customHeight="false" outlineLevel="0" collapsed="false">
      <c r="A28" s="15" t="s">
        <v>767</v>
      </c>
      <c r="B28" s="15" t="s">
        <v>764</v>
      </c>
      <c r="C28" s="15" t="s">
        <v>768</v>
      </c>
      <c r="D28" s="14" t="n">
        <v>7</v>
      </c>
      <c r="E28" s="15" t="s">
        <v>766</v>
      </c>
      <c r="F28" s="14" t="s">
        <v>534</v>
      </c>
      <c r="G28" s="14" t="s">
        <v>731</v>
      </c>
      <c r="H28" s="14"/>
      <c r="I28" s="14"/>
      <c r="J28" s="14"/>
    </row>
    <row r="29" customFormat="false" ht="15" hidden="false" customHeight="false" outlineLevel="0" collapsed="false">
      <c r="A29" s="13" t="s">
        <v>769</v>
      </c>
      <c r="B29" s="13" t="s">
        <v>764</v>
      </c>
      <c r="C29" s="13" t="s">
        <v>770</v>
      </c>
      <c r="D29" s="14" t="n">
        <v>7</v>
      </c>
      <c r="E29" s="13" t="s">
        <v>766</v>
      </c>
      <c r="F29" s="14" t="s">
        <v>534</v>
      </c>
      <c r="G29" s="14" t="s">
        <v>731</v>
      </c>
      <c r="H29" s="14"/>
      <c r="I29" s="14"/>
      <c r="J29" s="14"/>
    </row>
    <row r="30" customFormat="false" ht="15" hidden="false" customHeight="false" outlineLevel="0" collapsed="false">
      <c r="A30" s="15" t="s">
        <v>771</v>
      </c>
      <c r="B30" s="15" t="s">
        <v>764</v>
      </c>
      <c r="C30" s="15" t="s">
        <v>772</v>
      </c>
      <c r="D30" s="14" t="n">
        <v>7</v>
      </c>
      <c r="E30" s="15" t="s">
        <v>766</v>
      </c>
      <c r="F30" s="14" t="s">
        <v>638</v>
      </c>
      <c r="G30" s="14" t="s">
        <v>731</v>
      </c>
      <c r="H30" s="14"/>
      <c r="I30" s="14"/>
      <c r="J30" s="14"/>
    </row>
    <row r="31" customFormat="false" ht="15" hidden="false" customHeight="false" outlineLevel="0" collapsed="false">
      <c r="A31" s="13" t="s">
        <v>773</v>
      </c>
      <c r="B31" s="13" t="s">
        <v>764</v>
      </c>
      <c r="C31" s="13" t="s">
        <v>774</v>
      </c>
      <c r="D31" s="14" t="n">
        <v>7</v>
      </c>
      <c r="E31" s="13" t="s">
        <v>766</v>
      </c>
      <c r="F31" s="14" t="s">
        <v>638</v>
      </c>
      <c r="G31" s="14" t="s">
        <v>731</v>
      </c>
      <c r="H31" s="14"/>
      <c r="I31" s="14"/>
      <c r="J31" s="14"/>
    </row>
    <row r="32" customFormat="false" ht="15" hidden="false" customHeight="false" outlineLevel="0" collapsed="false">
      <c r="A32" s="15" t="s">
        <v>775</v>
      </c>
      <c r="B32" s="15" t="s">
        <v>764</v>
      </c>
      <c r="C32" s="15" t="s">
        <v>776</v>
      </c>
      <c r="D32" s="14" t="n">
        <v>7</v>
      </c>
      <c r="E32" s="15" t="s">
        <v>766</v>
      </c>
      <c r="F32" s="14" t="s">
        <v>436</v>
      </c>
      <c r="G32" s="14" t="s">
        <v>731</v>
      </c>
      <c r="H32" s="14"/>
      <c r="I32" s="14"/>
      <c r="J32" s="14"/>
    </row>
    <row r="33" customFormat="false" ht="15" hidden="false" customHeight="false" outlineLevel="0" collapsed="false">
      <c r="A33" s="13" t="s">
        <v>777</v>
      </c>
      <c r="B33" s="13" t="s">
        <v>567</v>
      </c>
      <c r="C33" s="13" t="s">
        <v>778</v>
      </c>
      <c r="D33" s="14" t="n">
        <v>8</v>
      </c>
      <c r="E33" s="13" t="s">
        <v>766</v>
      </c>
      <c r="F33" s="14" t="s">
        <v>534</v>
      </c>
      <c r="G33" s="14" t="s">
        <v>731</v>
      </c>
      <c r="H33" s="14"/>
      <c r="I33" s="14"/>
      <c r="J33" s="14"/>
    </row>
    <row r="34" customFormat="false" ht="15" hidden="false" customHeight="false" outlineLevel="0" collapsed="false">
      <c r="A34" s="15" t="s">
        <v>779</v>
      </c>
      <c r="B34" s="15" t="s">
        <v>567</v>
      </c>
      <c r="C34" s="15" t="s">
        <v>780</v>
      </c>
      <c r="D34" s="14" t="n">
        <v>8</v>
      </c>
      <c r="E34" s="15" t="s">
        <v>766</v>
      </c>
      <c r="F34" s="14" t="s">
        <v>534</v>
      </c>
      <c r="G34" s="14" t="s">
        <v>731</v>
      </c>
      <c r="H34" s="14"/>
      <c r="I34" s="14"/>
      <c r="J34" s="14"/>
    </row>
    <row r="35" customFormat="false" ht="15" hidden="false" customHeight="false" outlineLevel="0" collapsed="false">
      <c r="A35" s="13" t="s">
        <v>781</v>
      </c>
      <c r="B35" s="13" t="s">
        <v>567</v>
      </c>
      <c r="C35" s="13" t="s">
        <v>782</v>
      </c>
      <c r="D35" s="14" t="n">
        <v>8</v>
      </c>
      <c r="E35" s="13" t="s">
        <v>766</v>
      </c>
      <c r="F35" s="14" t="s">
        <v>638</v>
      </c>
      <c r="G35" s="14" t="s">
        <v>731</v>
      </c>
      <c r="H35" s="14"/>
      <c r="I35" s="14"/>
      <c r="J35" s="14"/>
    </row>
    <row r="36" customFormat="false" ht="15" hidden="false" customHeight="false" outlineLevel="0" collapsed="false">
      <c r="A36" s="15" t="s">
        <v>783</v>
      </c>
      <c r="B36" s="15" t="s">
        <v>567</v>
      </c>
      <c r="C36" s="15" t="s">
        <v>784</v>
      </c>
      <c r="D36" s="14" t="n">
        <v>8</v>
      </c>
      <c r="E36" s="15" t="s">
        <v>766</v>
      </c>
      <c r="F36" s="14" t="s">
        <v>534</v>
      </c>
      <c r="G36" s="14" t="s">
        <v>731</v>
      </c>
      <c r="H36" s="14"/>
      <c r="I36" s="14"/>
      <c r="J36" s="14"/>
    </row>
    <row r="37" customFormat="false" ht="15" hidden="false" customHeight="false" outlineLevel="0" collapsed="false">
      <c r="A37" s="13" t="s">
        <v>785</v>
      </c>
      <c r="B37" s="13" t="s">
        <v>567</v>
      </c>
      <c r="C37" s="13" t="s">
        <v>786</v>
      </c>
      <c r="D37" s="14" t="n">
        <v>8</v>
      </c>
      <c r="E37" s="13" t="s">
        <v>766</v>
      </c>
      <c r="F37" s="14" t="s">
        <v>436</v>
      </c>
      <c r="G37" s="14" t="s">
        <v>731</v>
      </c>
      <c r="H37" s="14"/>
      <c r="I37" s="14"/>
      <c r="J37" s="14"/>
    </row>
    <row r="38" customFormat="false" ht="15" hidden="false" customHeight="false" outlineLevel="0" collapsed="false">
      <c r="A38" s="15" t="s">
        <v>787</v>
      </c>
      <c r="B38" s="15" t="s">
        <v>567</v>
      </c>
      <c r="C38" s="15" t="s">
        <v>788</v>
      </c>
      <c r="D38" s="14" t="n">
        <v>8</v>
      </c>
      <c r="E38" s="15" t="s">
        <v>766</v>
      </c>
      <c r="F38" s="14" t="s">
        <v>638</v>
      </c>
      <c r="G38" s="14" t="s">
        <v>731</v>
      </c>
      <c r="H38" s="14"/>
      <c r="I38" s="14"/>
      <c r="J38" s="14"/>
    </row>
    <row r="39" customFormat="false" ht="15" hidden="false" customHeight="false" outlineLevel="0" collapsed="false">
      <c r="A39" s="13" t="s">
        <v>789</v>
      </c>
      <c r="B39" s="13" t="s">
        <v>567</v>
      </c>
      <c r="C39" s="13" t="s">
        <v>790</v>
      </c>
      <c r="D39" s="14" t="n">
        <v>8</v>
      </c>
      <c r="E39" s="13" t="s">
        <v>766</v>
      </c>
      <c r="F39" s="14" t="s">
        <v>436</v>
      </c>
      <c r="G39" s="14" t="s">
        <v>731</v>
      </c>
      <c r="H39" s="14"/>
      <c r="I39" s="14"/>
      <c r="J39" s="14"/>
    </row>
    <row r="40" customFormat="false" ht="15" hidden="false" customHeight="false" outlineLevel="0" collapsed="false">
      <c r="A40" s="15" t="s">
        <v>791</v>
      </c>
      <c r="B40" s="15" t="s">
        <v>567</v>
      </c>
      <c r="C40" s="15" t="s">
        <v>792</v>
      </c>
      <c r="D40" s="14" t="n">
        <v>8</v>
      </c>
      <c r="E40" s="15" t="s">
        <v>766</v>
      </c>
      <c r="F40" s="14" t="s">
        <v>534</v>
      </c>
      <c r="G40" s="14" t="s">
        <v>731</v>
      </c>
      <c r="H40" s="14"/>
      <c r="I40" s="14"/>
      <c r="J40" s="14"/>
    </row>
    <row r="41" customFormat="false" ht="15" hidden="false" customHeight="false" outlineLevel="0" collapsed="false">
      <c r="A41" s="13" t="s">
        <v>793</v>
      </c>
      <c r="B41" s="13" t="s">
        <v>567</v>
      </c>
      <c r="C41" s="13" t="s">
        <v>794</v>
      </c>
      <c r="D41" s="14" t="n">
        <v>8</v>
      </c>
      <c r="E41" s="13" t="s">
        <v>766</v>
      </c>
      <c r="F41" s="14" t="s">
        <v>638</v>
      </c>
      <c r="G41" s="14" t="s">
        <v>731</v>
      </c>
      <c r="H41" s="14"/>
      <c r="I41" s="14"/>
      <c r="J41" s="14"/>
    </row>
    <row r="42" customFormat="false" ht="15" hidden="false" customHeight="false" outlineLevel="0" collapsed="false">
      <c r="A42" s="15" t="s">
        <v>795</v>
      </c>
      <c r="B42" s="15" t="s">
        <v>796</v>
      </c>
      <c r="C42" s="15" t="s">
        <v>797</v>
      </c>
      <c r="D42" s="14" t="n">
        <v>9</v>
      </c>
      <c r="E42" s="15" t="s">
        <v>766</v>
      </c>
      <c r="F42" s="14" t="s">
        <v>638</v>
      </c>
      <c r="G42" s="14" t="s">
        <v>731</v>
      </c>
      <c r="H42" s="14"/>
      <c r="I42" s="14"/>
      <c r="J42" s="14"/>
    </row>
    <row r="43" customFormat="false" ht="15" hidden="false" customHeight="false" outlineLevel="0" collapsed="false">
      <c r="A43" s="13" t="s">
        <v>798</v>
      </c>
      <c r="B43" s="13" t="s">
        <v>796</v>
      </c>
      <c r="C43" s="13" t="s">
        <v>799</v>
      </c>
      <c r="D43" s="14" t="n">
        <v>9</v>
      </c>
      <c r="E43" s="13" t="s">
        <v>766</v>
      </c>
      <c r="F43" s="14" t="s">
        <v>638</v>
      </c>
      <c r="G43" s="14" t="s">
        <v>731</v>
      </c>
      <c r="H43" s="14"/>
      <c r="I43" s="14"/>
      <c r="J43" s="14"/>
    </row>
    <row r="44" customFormat="false" ht="15" hidden="false" customHeight="false" outlineLevel="0" collapsed="false">
      <c r="A44" s="15" t="s">
        <v>800</v>
      </c>
      <c r="B44" s="15" t="s">
        <v>796</v>
      </c>
      <c r="C44" s="15" t="s">
        <v>801</v>
      </c>
      <c r="D44" s="14" t="n">
        <v>9</v>
      </c>
      <c r="E44" s="15" t="s">
        <v>766</v>
      </c>
      <c r="F44" s="14" t="s">
        <v>638</v>
      </c>
      <c r="G44" s="14" t="s">
        <v>731</v>
      </c>
      <c r="H44" s="14"/>
      <c r="I44" s="14"/>
      <c r="J44" s="14"/>
    </row>
    <row r="45" customFormat="false" ht="15" hidden="false" customHeight="false" outlineLevel="0" collapsed="false">
      <c r="A45" s="13" t="s">
        <v>802</v>
      </c>
      <c r="B45" s="13" t="s">
        <v>796</v>
      </c>
      <c r="C45" s="13" t="s">
        <v>803</v>
      </c>
      <c r="D45" s="14" t="n">
        <v>9</v>
      </c>
      <c r="E45" s="13" t="s">
        <v>766</v>
      </c>
      <c r="F45" s="14" t="s">
        <v>436</v>
      </c>
      <c r="G45" s="14" t="s">
        <v>731</v>
      </c>
      <c r="H45" s="14"/>
      <c r="I45" s="14"/>
      <c r="J45" s="14"/>
    </row>
    <row r="46" customFormat="false" ht="15" hidden="false" customHeight="false" outlineLevel="0" collapsed="false">
      <c r="A46" s="15" t="s">
        <v>804</v>
      </c>
      <c r="B46" s="15" t="s">
        <v>796</v>
      </c>
      <c r="C46" s="15" t="s">
        <v>805</v>
      </c>
      <c r="D46" s="14" t="n">
        <v>9</v>
      </c>
      <c r="E46" s="15" t="s">
        <v>766</v>
      </c>
      <c r="F46" s="14" t="s">
        <v>436</v>
      </c>
      <c r="G46" s="14" t="s">
        <v>731</v>
      </c>
      <c r="H46" s="14"/>
      <c r="I46" s="14"/>
      <c r="J46" s="14"/>
    </row>
    <row r="47" customFormat="false" ht="15" hidden="false" customHeight="false" outlineLevel="0" collapsed="false">
      <c r="A47" s="13" t="s">
        <v>806</v>
      </c>
      <c r="B47" s="13" t="s">
        <v>796</v>
      </c>
      <c r="C47" s="13" t="s">
        <v>807</v>
      </c>
      <c r="D47" s="14" t="n">
        <v>9</v>
      </c>
      <c r="E47" s="13" t="s">
        <v>766</v>
      </c>
      <c r="F47" s="14" t="s">
        <v>534</v>
      </c>
      <c r="G47" s="14" t="s">
        <v>731</v>
      </c>
      <c r="H47" s="14"/>
      <c r="I47" s="14"/>
      <c r="J47" s="14"/>
    </row>
    <row r="48" customFormat="false" ht="15" hidden="false" customHeight="false" outlineLevel="0" collapsed="false">
      <c r="A48" s="15" t="s">
        <v>808</v>
      </c>
      <c r="B48" s="15" t="s">
        <v>809</v>
      </c>
      <c r="C48" s="15" t="s">
        <v>810</v>
      </c>
      <c r="D48" s="14" t="n">
        <v>11</v>
      </c>
      <c r="E48" s="15" t="s">
        <v>811</v>
      </c>
      <c r="F48" s="14" t="s">
        <v>638</v>
      </c>
      <c r="G48" s="14" t="s">
        <v>731</v>
      </c>
      <c r="H48" s="14"/>
      <c r="I48" s="14"/>
      <c r="J48" s="14"/>
    </row>
    <row r="49" customFormat="false" ht="15" hidden="false" customHeight="false" outlineLevel="0" collapsed="false">
      <c r="A49" s="13" t="s">
        <v>812</v>
      </c>
      <c r="B49" s="13" t="s">
        <v>809</v>
      </c>
      <c r="C49" s="13" t="s">
        <v>813</v>
      </c>
      <c r="D49" s="14" t="n">
        <v>11</v>
      </c>
      <c r="E49" s="13" t="s">
        <v>811</v>
      </c>
      <c r="F49" s="14" t="s">
        <v>436</v>
      </c>
      <c r="G49" s="14" t="s">
        <v>731</v>
      </c>
      <c r="H49" s="14"/>
      <c r="I49" s="14"/>
      <c r="J49" s="14"/>
    </row>
    <row r="50" customFormat="false" ht="15" hidden="false" customHeight="false" outlineLevel="0" collapsed="false">
      <c r="A50" s="15" t="s">
        <v>814</v>
      </c>
      <c r="B50" s="15" t="s">
        <v>809</v>
      </c>
      <c r="C50" s="15" t="s">
        <v>815</v>
      </c>
      <c r="D50" s="14" t="n">
        <v>11</v>
      </c>
      <c r="E50" s="15" t="s">
        <v>811</v>
      </c>
      <c r="F50" s="14" t="s">
        <v>534</v>
      </c>
      <c r="G50" s="14" t="s">
        <v>731</v>
      </c>
      <c r="H50" s="14"/>
      <c r="I50" s="14"/>
      <c r="J50" s="14"/>
    </row>
    <row r="51" customFormat="false" ht="15" hidden="false" customHeight="false" outlineLevel="0" collapsed="false">
      <c r="A51" s="13" t="s">
        <v>816</v>
      </c>
      <c r="B51" s="13" t="s">
        <v>809</v>
      </c>
      <c r="C51" s="13" t="s">
        <v>817</v>
      </c>
      <c r="D51" s="14" t="n">
        <v>11</v>
      </c>
      <c r="E51" s="13" t="s">
        <v>811</v>
      </c>
      <c r="F51" s="14" t="s">
        <v>436</v>
      </c>
      <c r="G51" s="14" t="s">
        <v>731</v>
      </c>
      <c r="H51" s="14"/>
      <c r="I51" s="14"/>
      <c r="J51" s="14"/>
    </row>
    <row r="52" customFormat="false" ht="15" hidden="false" customHeight="false" outlineLevel="0" collapsed="false">
      <c r="A52" s="15" t="s">
        <v>818</v>
      </c>
      <c r="B52" s="15" t="s">
        <v>819</v>
      </c>
      <c r="C52" s="15" t="s">
        <v>820</v>
      </c>
      <c r="D52" s="14" t="n">
        <v>10</v>
      </c>
      <c r="E52" s="15" t="s">
        <v>811</v>
      </c>
      <c r="F52" s="14" t="s">
        <v>436</v>
      </c>
      <c r="G52" s="14" t="s">
        <v>731</v>
      </c>
      <c r="H52" s="14"/>
      <c r="I52" s="14"/>
      <c r="J52" s="14"/>
    </row>
    <row r="53" customFormat="false" ht="15" hidden="false" customHeight="false" outlineLevel="0" collapsed="false">
      <c r="A53" s="13" t="s">
        <v>821</v>
      </c>
      <c r="B53" s="13" t="s">
        <v>819</v>
      </c>
      <c r="C53" s="13" t="s">
        <v>822</v>
      </c>
      <c r="D53" s="14" t="n">
        <v>10</v>
      </c>
      <c r="E53" s="13" t="s">
        <v>811</v>
      </c>
      <c r="F53" s="14" t="s">
        <v>436</v>
      </c>
      <c r="G53" s="14" t="s">
        <v>731</v>
      </c>
      <c r="H53" s="14"/>
      <c r="I53" s="14"/>
      <c r="J53" s="14"/>
    </row>
    <row r="54" customFormat="false" ht="15" hidden="false" customHeight="false" outlineLevel="0" collapsed="false">
      <c r="A54" s="15" t="s">
        <v>823</v>
      </c>
      <c r="B54" s="15" t="s">
        <v>819</v>
      </c>
      <c r="C54" s="15" t="s">
        <v>824</v>
      </c>
      <c r="D54" s="14" t="n">
        <v>10</v>
      </c>
      <c r="E54" s="15" t="s">
        <v>811</v>
      </c>
      <c r="F54" s="14" t="s">
        <v>534</v>
      </c>
      <c r="G54" s="14" t="s">
        <v>731</v>
      </c>
      <c r="H54" s="14"/>
      <c r="I54" s="14"/>
      <c r="J54" s="14"/>
    </row>
    <row r="55" customFormat="false" ht="15" hidden="false" customHeight="false" outlineLevel="0" collapsed="false">
      <c r="A55" s="13" t="s">
        <v>825</v>
      </c>
      <c r="B55" s="13" t="s">
        <v>819</v>
      </c>
      <c r="C55" s="13" t="s">
        <v>826</v>
      </c>
      <c r="D55" s="14" t="n">
        <v>10</v>
      </c>
      <c r="E55" s="13" t="s">
        <v>811</v>
      </c>
      <c r="F55" s="14" t="s">
        <v>534</v>
      </c>
      <c r="G55" s="14" t="s">
        <v>731</v>
      </c>
      <c r="H55" s="14"/>
      <c r="I55" s="14"/>
      <c r="J55" s="14"/>
    </row>
    <row r="56" customFormat="false" ht="15" hidden="false" customHeight="false" outlineLevel="0" collapsed="false">
      <c r="A56" s="15" t="s">
        <v>827</v>
      </c>
      <c r="B56" s="15" t="s">
        <v>819</v>
      </c>
      <c r="C56" s="15" t="s">
        <v>828</v>
      </c>
      <c r="D56" s="14" t="n">
        <v>10</v>
      </c>
      <c r="E56" s="15" t="s">
        <v>811</v>
      </c>
      <c r="F56" s="14" t="s">
        <v>534</v>
      </c>
      <c r="G56" s="14" t="s">
        <v>731</v>
      </c>
      <c r="H56" s="14"/>
      <c r="I56" s="14"/>
      <c r="J56" s="14"/>
    </row>
    <row r="57" customFormat="false" ht="15" hidden="false" customHeight="false" outlineLevel="0" collapsed="false">
      <c r="A57" s="13" t="s">
        <v>829</v>
      </c>
      <c r="B57" s="13" t="s">
        <v>819</v>
      </c>
      <c r="C57" s="13" t="s">
        <v>830</v>
      </c>
      <c r="D57" s="14" t="n">
        <v>10</v>
      </c>
      <c r="E57" s="13" t="s">
        <v>811</v>
      </c>
      <c r="F57" s="14" t="s">
        <v>638</v>
      </c>
      <c r="G57" s="14" t="s">
        <v>731</v>
      </c>
      <c r="H57" s="14"/>
      <c r="I57" s="14"/>
      <c r="J57" s="14"/>
    </row>
    <row r="58" customFormat="false" ht="15" hidden="false" customHeight="false" outlineLevel="0" collapsed="false">
      <c r="A58" s="15" t="s">
        <v>831</v>
      </c>
      <c r="B58" s="15" t="s">
        <v>832</v>
      </c>
      <c r="C58" s="15" t="s">
        <v>833</v>
      </c>
      <c r="D58" s="14" t="n">
        <v>11</v>
      </c>
      <c r="E58" s="15" t="s">
        <v>811</v>
      </c>
      <c r="F58" s="14" t="s">
        <v>638</v>
      </c>
      <c r="G58" s="14" t="s">
        <v>731</v>
      </c>
      <c r="H58" s="14"/>
      <c r="I58" s="14"/>
      <c r="J58" s="14"/>
    </row>
    <row r="59" customFormat="false" ht="15" hidden="false" customHeight="false" outlineLevel="0" collapsed="false">
      <c r="A59" s="13" t="s">
        <v>834</v>
      </c>
      <c r="B59" s="13" t="s">
        <v>832</v>
      </c>
      <c r="C59" s="13" t="s">
        <v>835</v>
      </c>
      <c r="D59" s="14" t="n">
        <v>11</v>
      </c>
      <c r="E59" s="13" t="s">
        <v>811</v>
      </c>
      <c r="F59" s="14" t="s">
        <v>436</v>
      </c>
      <c r="G59" s="14" t="s">
        <v>731</v>
      </c>
      <c r="H59" s="14"/>
      <c r="I59" s="14"/>
      <c r="J59" s="14"/>
    </row>
    <row r="60" customFormat="false" ht="15" hidden="false" customHeight="false" outlineLevel="0" collapsed="false">
      <c r="A60" s="15" t="s">
        <v>836</v>
      </c>
      <c r="B60" s="15" t="s">
        <v>832</v>
      </c>
      <c r="C60" s="15" t="s">
        <v>837</v>
      </c>
      <c r="D60" s="14" t="n">
        <v>11</v>
      </c>
      <c r="E60" s="15" t="s">
        <v>811</v>
      </c>
      <c r="F60" s="14" t="s">
        <v>534</v>
      </c>
      <c r="G60" s="14" t="s">
        <v>731</v>
      </c>
      <c r="H60" s="14"/>
      <c r="I60" s="14"/>
      <c r="J60" s="14"/>
    </row>
    <row r="61" customFormat="false" ht="15" hidden="false" customHeight="false" outlineLevel="0" collapsed="false">
      <c r="A61" s="13" t="s">
        <v>838</v>
      </c>
      <c r="B61" s="13" t="s">
        <v>832</v>
      </c>
      <c r="C61" s="13" t="s">
        <v>839</v>
      </c>
      <c r="D61" s="14" t="n">
        <v>11</v>
      </c>
      <c r="E61" s="13" t="s">
        <v>811</v>
      </c>
      <c r="F61" s="14" t="s">
        <v>534</v>
      </c>
      <c r="G61" s="14" t="s">
        <v>731</v>
      </c>
      <c r="H61" s="14"/>
      <c r="I61" s="14"/>
      <c r="J61" s="14"/>
    </row>
    <row r="62" customFormat="false" ht="15" hidden="false" customHeight="false" outlineLevel="0" collapsed="false">
      <c r="A62" s="15" t="s">
        <v>840</v>
      </c>
      <c r="B62" s="15" t="s">
        <v>832</v>
      </c>
      <c r="C62" s="15" t="s">
        <v>841</v>
      </c>
      <c r="D62" s="14" t="n">
        <v>12</v>
      </c>
      <c r="E62" s="15" t="s">
        <v>811</v>
      </c>
      <c r="F62" s="14" t="s">
        <v>638</v>
      </c>
      <c r="G62" s="14" t="s">
        <v>731</v>
      </c>
      <c r="H62" s="14"/>
      <c r="I62" s="14"/>
      <c r="J62" s="14"/>
    </row>
    <row r="63" customFormat="false" ht="15" hidden="false" customHeight="false" outlineLevel="0" collapsed="false">
      <c r="A63" s="13" t="s">
        <v>842</v>
      </c>
      <c r="B63" s="13" t="s">
        <v>832</v>
      </c>
      <c r="C63" s="13" t="s">
        <v>843</v>
      </c>
      <c r="D63" s="14" t="n">
        <v>12</v>
      </c>
      <c r="E63" s="13" t="s">
        <v>811</v>
      </c>
      <c r="F63" s="14" t="s">
        <v>436</v>
      </c>
      <c r="G63" s="14" t="s">
        <v>731</v>
      </c>
      <c r="H63" s="14"/>
      <c r="I63" s="14"/>
      <c r="J63" s="14"/>
    </row>
    <row r="65" customFormat="false" ht="15" hidden="false" customHeight="false" outlineLevel="0" collapsed="false">
      <c r="B65" s="25" t="s">
        <v>844</v>
      </c>
    </row>
    <row r="66" customFormat="false" ht="15" hidden="false" customHeight="false" outlineLevel="0" collapsed="false">
      <c r="B66" s="26" t="s">
        <v>731</v>
      </c>
      <c r="C66" s="26" t="n">
        <f aca="false">COUNTIF($G$5:$G$63,B66)</f>
        <v>53</v>
      </c>
    </row>
    <row r="67" customFormat="false" ht="15" hidden="false" customHeight="false" outlineLevel="0" collapsed="false">
      <c r="B67" s="26" t="s">
        <v>438</v>
      </c>
      <c r="C67" s="26" t="n">
        <f aca="false">COUNTIF($G$5:$G$63,B67)</f>
        <v>5</v>
      </c>
    </row>
    <row r="68" customFormat="false" ht="15" hidden="false" customHeight="false" outlineLevel="0" collapsed="false">
      <c r="B68" s="26" t="s">
        <v>639</v>
      </c>
      <c r="C68" s="26" t="n">
        <f aca="false">COUNTIF($G$5:$G$63,B68)</f>
        <v>1</v>
      </c>
    </row>
    <row r="69" customFormat="false" ht="15" hidden="false" customHeight="false" outlineLevel="0" collapsed="false">
      <c r="B69" s="26" t="s">
        <v>845</v>
      </c>
      <c r="C69" s="26" t="n">
        <f aca="false">COUNTIF($G$5:$G$63,B69)</f>
        <v>0</v>
      </c>
    </row>
    <row r="70" customFormat="false" ht="15" hidden="false" customHeight="false" outlineLevel="0" collapsed="false">
      <c r="B70" s="26" t="s">
        <v>846</v>
      </c>
      <c r="C70" s="26" t="n">
        <f aca="false">COUNTIF($G$5:$G$63,B70)</f>
        <v>0</v>
      </c>
    </row>
    <row r="71" customFormat="false" ht="15" hidden="false" customHeight="false" outlineLevel="0" collapsed="false">
      <c r="B71" s="27" t="s">
        <v>847</v>
      </c>
      <c r="C71" s="28" t="n">
        <f aca="false">IFERROR(C70/COUNTA($A$5:$A$63),0)</f>
        <v>0</v>
      </c>
    </row>
  </sheetData>
  <autoFilter ref="A4:J63"/>
  <mergeCells count="2">
    <mergeCell ref="A1:J1"/>
    <mergeCell ref="A2:J2"/>
  </mergeCells>
  <conditionalFormatting sqref="G5:G63">
    <cfRule type="cellIs" priority="2" operator="equal" aboveAverage="0" equalAverage="0" bottom="0" percent="0" rank="0" text="" dxfId="6">
      <formula>"Done"</formula>
    </cfRule>
    <cfRule type="cellIs" priority="3" operator="equal" aboveAverage="0" equalAverage="0" bottom="0" percent="0" rank="0" text="" dxfId="9">
      <formula>"In progress"</formula>
    </cfRule>
  </conditionalFormatting>
  <dataValidations count="2">
    <dataValidation allowBlank="true" errorStyle="stop" operator="between" showDropDown="false" showErrorMessage="false" showInputMessage="false" sqref="G5:G63" type="list">
      <formula1>"Backlog,Planned,In progress,Review,Done"</formula1>
      <formula2>0</formula2>
    </dataValidation>
    <dataValidation allowBlank="true" errorStyle="stop" operator="between" showDropDown="false" showErrorMessage="false" showInputMessage="false" sqref="F5:F63" type="list">
      <formula1>"Eswar,DA1,DA2"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5" min="5" style="0" width="46"/>
    <col collapsed="false" customWidth="true" hidden="false" outlineLevel="0" max="6" min="6" style="0" width="7"/>
    <col collapsed="false" customWidth="true" hidden="false" outlineLevel="0" max="8" min="7" style="0" width="10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0" t="s">
        <v>848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11" t="s">
        <v>849</v>
      </c>
      <c r="B2" s="11"/>
      <c r="C2" s="11"/>
      <c r="D2" s="11"/>
      <c r="E2" s="11"/>
      <c r="F2" s="11"/>
      <c r="G2" s="11"/>
      <c r="H2" s="11"/>
      <c r="I2" s="11"/>
    </row>
    <row r="3" customFormat="false" ht="3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</row>
    <row r="4" customFormat="false" ht="30" hidden="false" customHeight="true" outlineLevel="0" collapsed="false">
      <c r="A4" s="12" t="s">
        <v>418</v>
      </c>
      <c r="B4" s="12" t="s">
        <v>850</v>
      </c>
      <c r="C4" s="12" t="s">
        <v>851</v>
      </c>
      <c r="D4" s="12" t="s">
        <v>852</v>
      </c>
      <c r="E4" s="12" t="s">
        <v>853</v>
      </c>
      <c r="F4" s="12" t="s">
        <v>425</v>
      </c>
      <c r="G4" s="12" t="s">
        <v>854</v>
      </c>
      <c r="H4" s="12" t="s">
        <v>427</v>
      </c>
      <c r="I4" s="12" t="s">
        <v>855</v>
      </c>
    </row>
    <row r="5" customFormat="false" ht="15" hidden="false" customHeight="false" outlineLevel="0" collapsed="false">
      <c r="A5" s="13" t="s">
        <v>856</v>
      </c>
      <c r="B5" s="13" t="s">
        <v>857</v>
      </c>
      <c r="C5" s="13" t="s">
        <v>858</v>
      </c>
      <c r="D5" s="14" t="s">
        <v>859</v>
      </c>
      <c r="E5" s="13" t="s">
        <v>860</v>
      </c>
      <c r="F5" s="14" t="s">
        <v>436</v>
      </c>
      <c r="G5" s="13" t="s">
        <v>861</v>
      </c>
      <c r="H5" s="14" t="s">
        <v>862</v>
      </c>
      <c r="I5" s="14"/>
    </row>
    <row r="6" customFormat="false" ht="23.85" hidden="false" customHeight="false" outlineLevel="0" collapsed="false">
      <c r="A6" s="15" t="s">
        <v>863</v>
      </c>
      <c r="B6" s="15" t="s">
        <v>864</v>
      </c>
      <c r="C6" s="15" t="s">
        <v>865</v>
      </c>
      <c r="D6" s="14" t="s">
        <v>154</v>
      </c>
      <c r="E6" s="15" t="s">
        <v>866</v>
      </c>
      <c r="F6" s="14" t="s">
        <v>449</v>
      </c>
      <c r="G6" s="15" t="s">
        <v>861</v>
      </c>
      <c r="H6" s="14" t="s">
        <v>867</v>
      </c>
      <c r="I6" s="14"/>
    </row>
    <row r="7" customFormat="false" ht="15" hidden="false" customHeight="false" outlineLevel="0" collapsed="false">
      <c r="A7" s="13" t="s">
        <v>868</v>
      </c>
      <c r="B7" s="13" t="s">
        <v>869</v>
      </c>
      <c r="C7" s="13" t="s">
        <v>870</v>
      </c>
      <c r="D7" s="14" t="s">
        <v>859</v>
      </c>
      <c r="E7" s="13" t="s">
        <v>871</v>
      </c>
      <c r="F7" s="14" t="s">
        <v>436</v>
      </c>
      <c r="G7" s="13" t="s">
        <v>861</v>
      </c>
      <c r="H7" s="14" t="s">
        <v>867</v>
      </c>
      <c r="I7" s="14"/>
    </row>
    <row r="8" customFormat="false" ht="15" hidden="false" customHeight="false" outlineLevel="0" collapsed="false">
      <c r="A8" s="15" t="s">
        <v>872</v>
      </c>
      <c r="B8" s="15" t="s">
        <v>873</v>
      </c>
      <c r="C8" s="15" t="s">
        <v>874</v>
      </c>
      <c r="D8" s="14" t="s">
        <v>875</v>
      </c>
      <c r="E8" s="15" t="s">
        <v>876</v>
      </c>
      <c r="F8" s="14" t="s">
        <v>534</v>
      </c>
      <c r="G8" s="15" t="s">
        <v>861</v>
      </c>
      <c r="H8" s="14" t="s">
        <v>862</v>
      </c>
      <c r="I8" s="14"/>
    </row>
    <row r="9" customFormat="false" ht="15" hidden="false" customHeight="false" outlineLevel="0" collapsed="false">
      <c r="A9" s="13" t="s">
        <v>877</v>
      </c>
      <c r="B9" s="13" t="s">
        <v>878</v>
      </c>
      <c r="C9" s="13" t="s">
        <v>879</v>
      </c>
      <c r="D9" s="14" t="s">
        <v>859</v>
      </c>
      <c r="E9" s="13" t="s">
        <v>880</v>
      </c>
      <c r="F9" s="14" t="s">
        <v>436</v>
      </c>
      <c r="G9" s="13" t="s">
        <v>861</v>
      </c>
      <c r="H9" s="14" t="s">
        <v>867</v>
      </c>
      <c r="I9" s="14"/>
    </row>
    <row r="10" customFormat="false" ht="23.85" hidden="false" customHeight="false" outlineLevel="0" collapsed="false">
      <c r="A10" s="15" t="s">
        <v>881</v>
      </c>
      <c r="B10" s="15" t="s">
        <v>882</v>
      </c>
      <c r="C10" s="15" t="s">
        <v>883</v>
      </c>
      <c r="D10" s="14" t="s">
        <v>154</v>
      </c>
      <c r="E10" s="15" t="s">
        <v>884</v>
      </c>
      <c r="F10" s="14" t="s">
        <v>449</v>
      </c>
      <c r="G10" s="15" t="s">
        <v>861</v>
      </c>
      <c r="H10" s="14" t="s">
        <v>867</v>
      </c>
      <c r="I10" s="14"/>
    </row>
    <row r="11" customFormat="false" ht="23.85" hidden="false" customHeight="false" outlineLevel="0" collapsed="false">
      <c r="A11" s="13" t="s">
        <v>885</v>
      </c>
      <c r="B11" s="13" t="s">
        <v>886</v>
      </c>
      <c r="C11" s="13" t="s">
        <v>887</v>
      </c>
      <c r="D11" s="14" t="s">
        <v>157</v>
      </c>
      <c r="E11" s="13" t="s">
        <v>888</v>
      </c>
      <c r="F11" s="14" t="s">
        <v>449</v>
      </c>
      <c r="G11" s="13" t="s">
        <v>861</v>
      </c>
      <c r="H11" s="14" t="s">
        <v>867</v>
      </c>
      <c r="I11" s="14"/>
    </row>
    <row r="12" customFormat="false" ht="15" hidden="false" customHeight="false" outlineLevel="0" collapsed="false">
      <c r="A12" s="15" t="s">
        <v>889</v>
      </c>
      <c r="B12" s="15" t="s">
        <v>890</v>
      </c>
      <c r="C12" s="15" t="s">
        <v>891</v>
      </c>
      <c r="D12" s="14" t="s">
        <v>859</v>
      </c>
      <c r="E12" s="15" t="s">
        <v>892</v>
      </c>
      <c r="F12" s="14" t="s">
        <v>534</v>
      </c>
      <c r="G12" s="15" t="s">
        <v>861</v>
      </c>
      <c r="H12" s="14" t="s">
        <v>862</v>
      </c>
      <c r="I12" s="14"/>
    </row>
    <row r="13" customFormat="false" ht="23.85" hidden="false" customHeight="false" outlineLevel="0" collapsed="false">
      <c r="A13" s="13" t="s">
        <v>893</v>
      </c>
      <c r="B13" s="13" t="s">
        <v>894</v>
      </c>
      <c r="C13" s="13" t="s">
        <v>895</v>
      </c>
      <c r="D13" s="14" t="s">
        <v>875</v>
      </c>
      <c r="E13" s="13" t="s">
        <v>896</v>
      </c>
      <c r="F13" s="14" t="s">
        <v>534</v>
      </c>
      <c r="G13" s="13" t="s">
        <v>861</v>
      </c>
      <c r="H13" s="14" t="s">
        <v>862</v>
      </c>
      <c r="I13" s="14"/>
    </row>
    <row r="16" customFormat="false" ht="15" hidden="false" customHeight="false" outlineLevel="0" collapsed="false">
      <c r="B16" s="27" t="s">
        <v>897</v>
      </c>
      <c r="C16" s="27" t="n">
        <f aca="false">COUNTIF(H5:H30,"Open")</f>
        <v>5</v>
      </c>
    </row>
    <row r="17" customFormat="false" ht="15" hidden="false" customHeight="false" outlineLevel="0" collapsed="false">
      <c r="B17" s="27" t="s">
        <v>898</v>
      </c>
      <c r="C17" s="27" t="n">
        <f aca="false">COUNTIFS(D5:D30,"High",H5:H30,"Open")</f>
        <v>2</v>
      </c>
    </row>
  </sheetData>
  <autoFilter ref="A4:I13"/>
  <mergeCells count="2">
    <mergeCell ref="A1:I1"/>
    <mergeCell ref="A2:I2"/>
  </mergeCells>
  <conditionalFormatting sqref="D5:D30">
    <cfRule type="cellIs" priority="2" operator="equal" aboveAverage="0" equalAverage="0" bottom="0" percent="0" rank="0" text="" dxfId="7">
      <formula>"High"</formula>
    </cfRule>
  </conditionalFormatting>
  <dataValidations count="2">
    <dataValidation allowBlank="true" errorStyle="stop" operator="between" showDropDown="false" showErrorMessage="false" showInputMessage="false" sqref="H5:H30" type="list">
      <formula1>"Open,In progress,Accepted,Fixed"</formula1>
      <formula2>0</formula2>
    </dataValidation>
    <dataValidation allowBlank="true" errorStyle="stop" operator="between" showDropDown="false" showErrorMessage="false" showInputMessage="false" sqref="D5:D30" type="list">
      <formula1>"High,Medium,Low,Info"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60"/>
    <col collapsed="false" customWidth="true" hidden="false" outlineLevel="0" max="7" min="7" style="0" width="18"/>
  </cols>
  <sheetData>
    <row r="1" customFormat="false" ht="19.7" hidden="false" customHeight="false" outlineLevel="0" collapsed="false">
      <c r="A1" s="10" t="s">
        <v>899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A2" s="11" t="s">
        <v>900</v>
      </c>
      <c r="B2" s="11"/>
      <c r="C2" s="11"/>
      <c r="D2" s="11"/>
      <c r="E2" s="11"/>
      <c r="F2" s="11"/>
      <c r="G2" s="11"/>
    </row>
    <row r="3" customFormat="false" ht="3.75" hidden="false" customHeight="true" outlineLevel="0" collapsed="false">
      <c r="A3" s="5"/>
      <c r="B3" s="5"/>
      <c r="C3" s="5"/>
      <c r="D3" s="5"/>
      <c r="E3" s="5"/>
      <c r="F3" s="5"/>
      <c r="G3" s="5"/>
    </row>
    <row r="4" customFormat="false" ht="30" hidden="false" customHeight="true" outlineLevel="0" collapsed="false">
      <c r="A4" s="12" t="s">
        <v>901</v>
      </c>
      <c r="B4" s="12" t="s">
        <v>902</v>
      </c>
      <c r="C4" s="12" t="s">
        <v>903</v>
      </c>
      <c r="D4" s="12" t="s">
        <v>904</v>
      </c>
      <c r="E4" s="12" t="s">
        <v>905</v>
      </c>
      <c r="F4" s="12" t="s">
        <v>906</v>
      </c>
      <c r="G4" s="12" t="s">
        <v>907</v>
      </c>
    </row>
    <row r="5" customFormat="false" ht="23.85" hidden="false" customHeight="false" outlineLevel="0" collapsed="false">
      <c r="A5" s="14" t="s">
        <v>908</v>
      </c>
      <c r="B5" s="13" t="s">
        <v>909</v>
      </c>
      <c r="C5" s="14" t="s">
        <v>910</v>
      </c>
      <c r="D5" s="14" t="s">
        <v>911</v>
      </c>
      <c r="E5" s="14" t="s">
        <v>912</v>
      </c>
      <c r="F5" s="13" t="s">
        <v>913</v>
      </c>
      <c r="G5" s="13" t="s">
        <v>914</v>
      </c>
    </row>
    <row r="6" customFormat="false" ht="15" hidden="false" customHeight="false" outlineLevel="0" collapsed="false">
      <c r="A6" s="14" t="s">
        <v>915</v>
      </c>
      <c r="B6" s="15" t="s">
        <v>916</v>
      </c>
      <c r="C6" s="14"/>
      <c r="D6" s="14"/>
      <c r="E6" s="14" t="s">
        <v>912</v>
      </c>
      <c r="F6" s="15" t="s">
        <v>917</v>
      </c>
      <c r="G6" s="15" t="s">
        <v>918</v>
      </c>
    </row>
    <row r="7" customFormat="false" ht="15" hidden="false" customHeight="false" outlineLevel="0" collapsed="false">
      <c r="A7" s="14" t="s">
        <v>919</v>
      </c>
      <c r="B7" s="13" t="s">
        <v>920</v>
      </c>
      <c r="C7" s="14"/>
      <c r="D7" s="14"/>
      <c r="E7" s="14" t="s">
        <v>912</v>
      </c>
      <c r="F7" s="13" t="s">
        <v>921</v>
      </c>
      <c r="G7" s="13" t="s">
        <v>922</v>
      </c>
    </row>
    <row r="10" customFormat="false" ht="15" hidden="false" customHeight="false" outlineLevel="0" collapsed="false">
      <c r="A10" s="25" t="s">
        <v>923</v>
      </c>
    </row>
    <row r="11" customFormat="false" ht="15" hidden="false" customHeight="false" outlineLevel="0" collapsed="false">
      <c r="A11" s="26" t="s">
        <v>924</v>
      </c>
      <c r="B11" s="26" t="s">
        <v>925</v>
      </c>
      <c r="C11" s="26" t="s">
        <v>926</v>
      </c>
    </row>
    <row r="12" customFormat="false" ht="15" hidden="false" customHeight="false" outlineLevel="0" collapsed="false">
      <c r="A12" s="26" t="s">
        <v>927</v>
      </c>
      <c r="B12" s="26" t="s">
        <v>928</v>
      </c>
      <c r="C12" s="26" t="s">
        <v>929</v>
      </c>
    </row>
    <row r="13" customFormat="false" ht="15" hidden="false" customHeight="false" outlineLevel="0" collapsed="false">
      <c r="A13" s="26" t="s">
        <v>930</v>
      </c>
      <c r="B13" s="26" t="s">
        <v>931</v>
      </c>
      <c r="C13" s="26" t="s">
        <v>932</v>
      </c>
    </row>
  </sheetData>
  <autoFilter ref="A4:G7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56"/>
    <col collapsed="false" customWidth="true" hidden="false" outlineLevel="0" max="4" min="4" style="0" width="34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0" t="s">
        <v>933</v>
      </c>
      <c r="B1" s="10"/>
      <c r="C1" s="10"/>
      <c r="D1" s="10"/>
      <c r="E1" s="10"/>
    </row>
    <row r="2" customFormat="false" ht="15" hidden="false" customHeight="false" outlineLevel="0" collapsed="false">
      <c r="A2" s="11" t="s">
        <v>934</v>
      </c>
      <c r="B2" s="11"/>
      <c r="C2" s="11"/>
      <c r="D2" s="11"/>
      <c r="E2" s="11"/>
    </row>
    <row r="3" customFormat="false" ht="3.75" hidden="false" customHeight="true" outlineLevel="0" collapsed="false">
      <c r="A3" s="5"/>
      <c r="B3" s="5"/>
      <c r="C3" s="5"/>
      <c r="D3" s="5"/>
      <c r="E3" s="5"/>
    </row>
    <row r="4" customFormat="false" ht="30" hidden="false" customHeight="true" outlineLevel="0" collapsed="false">
      <c r="A4" s="12" t="s">
        <v>935</v>
      </c>
      <c r="B4" s="12" t="s">
        <v>936</v>
      </c>
      <c r="C4" s="12" t="s">
        <v>937</v>
      </c>
      <c r="D4" s="12" t="s">
        <v>938</v>
      </c>
      <c r="E4" s="12" t="s">
        <v>939</v>
      </c>
    </row>
    <row r="5" customFormat="false" ht="15" hidden="false" customHeight="false" outlineLevel="0" collapsed="false">
      <c r="A5" s="13" t="s">
        <v>940</v>
      </c>
      <c r="B5" s="14" t="n">
        <v>1.65</v>
      </c>
      <c r="C5" s="13" t="s">
        <v>941</v>
      </c>
      <c r="D5" s="13" t="s">
        <v>942</v>
      </c>
      <c r="E5" s="13" t="s">
        <v>943</v>
      </c>
    </row>
    <row r="6" customFormat="false" ht="23.85" hidden="false" customHeight="false" outlineLevel="0" collapsed="false">
      <c r="A6" s="15" t="s">
        <v>944</v>
      </c>
      <c r="B6" s="14" t="n">
        <v>0.18</v>
      </c>
      <c r="C6" s="15" t="s">
        <v>945</v>
      </c>
      <c r="D6" s="15" t="s">
        <v>946</v>
      </c>
      <c r="E6" s="15" t="s">
        <v>947</v>
      </c>
    </row>
    <row r="7" customFormat="false" ht="15" hidden="false" customHeight="false" outlineLevel="0" collapsed="false">
      <c r="A7" s="13" t="s">
        <v>948</v>
      </c>
      <c r="B7" s="14" t="n">
        <v>2500</v>
      </c>
      <c r="C7" s="13" t="s">
        <v>949</v>
      </c>
      <c r="D7" s="13" t="s">
        <v>950</v>
      </c>
      <c r="E7" s="13" t="s">
        <v>947</v>
      </c>
    </row>
    <row r="8" customFormat="false" ht="15" hidden="false" customHeight="false" outlineLevel="0" collapsed="false">
      <c r="A8" s="15" t="s">
        <v>951</v>
      </c>
      <c r="B8" s="14" t="n">
        <v>180</v>
      </c>
      <c r="C8" s="15" t="s">
        <v>952</v>
      </c>
      <c r="D8" s="15" t="s">
        <v>950</v>
      </c>
      <c r="E8" s="15" t="s">
        <v>464</v>
      </c>
    </row>
    <row r="9" customFormat="false" ht="15" hidden="false" customHeight="false" outlineLevel="0" collapsed="false">
      <c r="A9" s="13" t="s">
        <v>953</v>
      </c>
      <c r="B9" s="14" t="n">
        <v>180</v>
      </c>
      <c r="C9" s="13" t="s">
        <v>954</v>
      </c>
      <c r="D9" s="13" t="s">
        <v>950</v>
      </c>
      <c r="E9" s="13" t="s">
        <v>577</v>
      </c>
    </row>
    <row r="10" customFormat="false" ht="15" hidden="false" customHeight="false" outlineLevel="0" collapsed="false">
      <c r="A10" s="15" t="s">
        <v>955</v>
      </c>
      <c r="B10" s="14" t="s">
        <v>956</v>
      </c>
      <c r="C10" s="15" t="s">
        <v>957</v>
      </c>
      <c r="D10" s="15" t="s">
        <v>958</v>
      </c>
      <c r="E10" s="15" t="s">
        <v>468</v>
      </c>
    </row>
    <row r="11" customFormat="false" ht="15" hidden="false" customHeight="false" outlineLevel="0" collapsed="false">
      <c r="A11" s="13" t="s">
        <v>959</v>
      </c>
      <c r="B11" s="14" t="s">
        <v>960</v>
      </c>
      <c r="C11" s="13" t="s">
        <v>961</v>
      </c>
      <c r="D11" s="13" t="s">
        <v>962</v>
      </c>
      <c r="E11" s="13" t="s">
        <v>963</v>
      </c>
    </row>
    <row r="12" customFormat="false" ht="15" hidden="false" customHeight="false" outlineLevel="0" collapsed="false">
      <c r="A12" s="15" t="s">
        <v>964</v>
      </c>
      <c r="B12" s="14" t="s">
        <v>965</v>
      </c>
      <c r="C12" s="15" t="s">
        <v>966</v>
      </c>
      <c r="D12" s="15" t="s">
        <v>967</v>
      </c>
      <c r="E12" s="15" t="s">
        <v>968</v>
      </c>
    </row>
    <row r="13" customFormat="false" ht="15" hidden="false" customHeight="false" outlineLevel="0" collapsed="false">
      <c r="A13" s="13" t="s">
        <v>969</v>
      </c>
      <c r="B13" s="14" t="s">
        <v>970</v>
      </c>
      <c r="C13" s="13" t="s">
        <v>971</v>
      </c>
      <c r="D13" s="13" t="s">
        <v>972</v>
      </c>
      <c r="E13" s="13" t="s">
        <v>973</v>
      </c>
    </row>
    <row r="14" customFormat="false" ht="15" hidden="false" customHeight="false" outlineLevel="0" collapsed="false">
      <c r="A14" s="15" t="s">
        <v>974</v>
      </c>
      <c r="B14" s="14" t="s">
        <v>975</v>
      </c>
      <c r="C14" s="15" t="s">
        <v>976</v>
      </c>
      <c r="D14" s="15" t="s">
        <v>10</v>
      </c>
      <c r="E14" s="15" t="s">
        <v>977</v>
      </c>
    </row>
  </sheetData>
  <autoFilter ref="A4:E14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2026-09-15T13:00:27Z</dcterms:created>
  <dc:creator>openpyxl</dc:creator>
  <dc:description/>
  <dc:language>en-US</dc:language>
  <cp:lastModifiedBy/>
  <dcterms:modified xsi:type="dcterms:W3CDTF">2026-09-15T13:00:27Z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